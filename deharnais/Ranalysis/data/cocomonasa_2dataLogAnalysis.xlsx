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onGitHUB\data\"/>
    </mc:Choice>
  </mc:AlternateContent>
  <xr:revisionPtr revIDLastSave="0" documentId="8_{196DA23D-387B-407E-A24C-20E623BFD12C}" xr6:coauthVersionLast="45" xr6:coauthVersionMax="45" xr10:uidLastSave="{00000000-0000-0000-0000-000000000000}"/>
  <bookViews>
    <workbookView xWindow="-120" yWindow="-120" windowWidth="19440" windowHeight="15000"/>
  </bookViews>
  <sheets>
    <sheet name="cocomonasa_2data" sheetId="1" r:id="rId1"/>
  </sheets>
  <calcPr calcId="0"/>
</workbook>
</file>

<file path=xl/calcChain.xml><?xml version="1.0" encoding="utf-8"?>
<calcChain xmlns="http://schemas.openxmlformats.org/spreadsheetml/2006/main">
  <c r="AB100" i="1" l="1"/>
  <c r="AB99" i="1"/>
  <c r="AB98" i="1"/>
  <c r="AB97" i="1"/>
  <c r="Z96" i="1"/>
  <c r="Y96" i="1"/>
  <c r="X96" i="1"/>
  <c r="W96" i="1"/>
  <c r="Z95" i="1"/>
  <c r="Y95" i="1"/>
  <c r="X95" i="1"/>
  <c r="W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Z2" i="1"/>
  <c r="Y2" i="1"/>
</calcChain>
</file>

<file path=xl/sharedStrings.xml><?xml version="1.0" encoding="utf-8"?>
<sst xmlns="http://schemas.openxmlformats.org/spreadsheetml/2006/main" count="1794" uniqueCount="60">
  <si>
    <t>id</t>
  </si>
  <si>
    <t>projectname</t>
  </si>
  <si>
    <t>cat2</t>
  </si>
  <si>
    <t>forg</t>
  </si>
  <si>
    <t>center</t>
  </si>
  <si>
    <t>year</t>
  </si>
  <si>
    <t>mode</t>
  </si>
  <si>
    <t>rely</t>
  </si>
  <si>
    <t>data</t>
  </si>
  <si>
    <t>cplx</t>
  </si>
  <si>
    <t>time</t>
  </si>
  <si>
    <t>stor</t>
  </si>
  <si>
    <t>virt</t>
  </si>
  <si>
    <t>turn</t>
  </si>
  <si>
    <t>acap</t>
  </si>
  <si>
    <t>aexp</t>
  </si>
  <si>
    <t>pcap</t>
  </si>
  <si>
    <t>vexp</t>
  </si>
  <si>
    <t>lexp</t>
  </si>
  <si>
    <t>modp</t>
  </si>
  <si>
    <t>tool</t>
  </si>
  <si>
    <t>sced</t>
  </si>
  <si>
    <t>equivphyskloc</t>
  </si>
  <si>
    <t>act_effort</t>
  </si>
  <si>
    <t>de</t>
  </si>
  <si>
    <t>avionicsmonitoring</t>
  </si>
  <si>
    <t>g</t>
  </si>
  <si>
    <t>semidetached</t>
  </si>
  <si>
    <t>h</t>
  </si>
  <si>
    <t>l</t>
  </si>
  <si>
    <t>n</t>
  </si>
  <si>
    <t>erb</t>
  </si>
  <si>
    <t>gal</t>
  </si>
  <si>
    <t>missionplanning</t>
  </si>
  <si>
    <t>xh</t>
  </si>
  <si>
    <t>vh</t>
  </si>
  <si>
    <t>vl</t>
  </si>
  <si>
    <t>X</t>
  </si>
  <si>
    <t>simulation</t>
  </si>
  <si>
    <t>monitor_control</t>
  </si>
  <si>
    <t>realdataprocessing</t>
  </si>
  <si>
    <t>communications</t>
  </si>
  <si>
    <t>batchdataprocessing</t>
  </si>
  <si>
    <t>datacapture</t>
  </si>
  <si>
    <t>hst</t>
  </si>
  <si>
    <t>slp</t>
  </si>
  <si>
    <t>launchprocessing</t>
  </si>
  <si>
    <t>Y</t>
  </si>
  <si>
    <t>application_ground</t>
  </si>
  <si>
    <t>utility</t>
  </si>
  <si>
    <t>spl</t>
  </si>
  <si>
    <t>operatingsystem</t>
  </si>
  <si>
    <t>embedded</t>
  </si>
  <si>
    <t>organic</t>
  </si>
  <si>
    <t>Avionics</t>
  </si>
  <si>
    <t>f</t>
  </si>
  <si>
    <t>science</t>
  </si>
  <si>
    <t>LogSize</t>
    <phoneticPr fontId="18" type="noConversion"/>
  </si>
  <si>
    <t>LogEffort</t>
    <phoneticPr fontId="18" type="noConversion"/>
  </si>
  <si>
    <t>mean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</si>
</sst>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"/>
  <sheetViews>
    <sheetView tabSelected="1" topLeftCell="L85" workbookViewId="0">
      <selection activeCell="AA99" sqref="AA99"/>
    </sheetView>
  </sheetViews>
  <sheetFormatPr defaultRowHeight="14.25" x14ac:dyDescent="0.2"/>
  <cols>
    <col min="23" max="23" width="9.125" bestFit="1" customWidth="1"/>
    <col min="24" max="24" width="9.375" bestFit="1" customWidth="1"/>
    <col min="25" max="26" width="9.125" bestFit="1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57</v>
      </c>
      <c r="Z1" t="s">
        <v>58</v>
      </c>
    </row>
    <row r="2" spans="1:26" x14ac:dyDescent="0.2">
      <c r="A2">
        <v>1</v>
      </c>
      <c r="B2" t="s">
        <v>24</v>
      </c>
      <c r="C2" t="s">
        <v>25</v>
      </c>
      <c r="D2" t="s">
        <v>26</v>
      </c>
      <c r="E2">
        <v>2</v>
      </c>
      <c r="F2">
        <v>1979</v>
      </c>
      <c r="G2" t="s">
        <v>27</v>
      </c>
      <c r="H2" t="s">
        <v>28</v>
      </c>
      <c r="I2" t="s">
        <v>29</v>
      </c>
      <c r="J2" t="s">
        <v>28</v>
      </c>
      <c r="K2" t="s">
        <v>30</v>
      </c>
      <c r="L2" t="s">
        <v>30</v>
      </c>
      <c r="M2" t="s">
        <v>29</v>
      </c>
      <c r="N2" t="s">
        <v>29</v>
      </c>
      <c r="O2" t="s">
        <v>30</v>
      </c>
      <c r="P2" t="s">
        <v>30</v>
      </c>
      <c r="Q2" t="s">
        <v>30</v>
      </c>
      <c r="R2" t="s">
        <v>30</v>
      </c>
      <c r="S2" t="s">
        <v>28</v>
      </c>
      <c r="T2" t="s">
        <v>28</v>
      </c>
      <c r="U2" t="s">
        <v>30</v>
      </c>
      <c r="V2" t="s">
        <v>29</v>
      </c>
      <c r="W2">
        <v>25.9</v>
      </c>
      <c r="X2">
        <v>117.6</v>
      </c>
      <c r="Y2" s="1">
        <f>LOG(W2)</f>
        <v>1.4132997640812519</v>
      </c>
      <c r="Z2" s="1">
        <f>LOG(X2)</f>
        <v>2.0704073217401198</v>
      </c>
    </row>
    <row r="3" spans="1:26" x14ac:dyDescent="0.2">
      <c r="A3">
        <v>2</v>
      </c>
      <c r="B3" t="s">
        <v>24</v>
      </c>
      <c r="C3" t="s">
        <v>25</v>
      </c>
      <c r="D3" t="s">
        <v>26</v>
      </c>
      <c r="E3">
        <v>2</v>
      </c>
      <c r="F3">
        <v>1979</v>
      </c>
      <c r="G3" t="s">
        <v>27</v>
      </c>
      <c r="H3" t="s">
        <v>28</v>
      </c>
      <c r="I3" t="s">
        <v>29</v>
      </c>
      <c r="J3" t="s">
        <v>28</v>
      </c>
      <c r="K3" t="s">
        <v>30</v>
      </c>
      <c r="L3" t="s">
        <v>30</v>
      </c>
      <c r="M3" t="s">
        <v>29</v>
      </c>
      <c r="N3" t="s">
        <v>29</v>
      </c>
      <c r="O3" t="s">
        <v>30</v>
      </c>
      <c r="P3" t="s">
        <v>30</v>
      </c>
      <c r="Q3" t="s">
        <v>30</v>
      </c>
      <c r="R3" t="s">
        <v>30</v>
      </c>
      <c r="S3" t="s">
        <v>28</v>
      </c>
      <c r="T3" t="s">
        <v>28</v>
      </c>
      <c r="U3" t="s">
        <v>30</v>
      </c>
      <c r="V3" t="s">
        <v>29</v>
      </c>
      <c r="W3">
        <v>24.6</v>
      </c>
      <c r="X3">
        <v>117.6</v>
      </c>
      <c r="Y3" s="1">
        <f t="shared" ref="Y3:Y66" si="0">LOG(W3)</f>
        <v>1.3909351071033791</v>
      </c>
      <c r="Z3" s="1">
        <f t="shared" ref="Z3:Z66" si="1">LOG(X3)</f>
        <v>2.0704073217401198</v>
      </c>
    </row>
    <row r="4" spans="1:26" x14ac:dyDescent="0.2">
      <c r="A4">
        <v>3</v>
      </c>
      <c r="B4" t="s">
        <v>24</v>
      </c>
      <c r="C4" t="s">
        <v>25</v>
      </c>
      <c r="D4" t="s">
        <v>26</v>
      </c>
      <c r="E4">
        <v>2</v>
      </c>
      <c r="F4">
        <v>1979</v>
      </c>
      <c r="G4" t="s">
        <v>27</v>
      </c>
      <c r="H4" t="s">
        <v>28</v>
      </c>
      <c r="I4" t="s">
        <v>29</v>
      </c>
      <c r="J4" t="s">
        <v>28</v>
      </c>
      <c r="K4" t="s">
        <v>30</v>
      </c>
      <c r="L4" t="s">
        <v>30</v>
      </c>
      <c r="M4" t="s">
        <v>29</v>
      </c>
      <c r="N4" t="s">
        <v>29</v>
      </c>
      <c r="O4" t="s">
        <v>30</v>
      </c>
      <c r="P4" t="s">
        <v>30</v>
      </c>
      <c r="Q4" t="s">
        <v>30</v>
      </c>
      <c r="R4" t="s">
        <v>30</v>
      </c>
      <c r="S4" t="s">
        <v>28</v>
      </c>
      <c r="T4" t="s">
        <v>28</v>
      </c>
      <c r="U4" t="s">
        <v>30</v>
      </c>
      <c r="V4" t="s">
        <v>29</v>
      </c>
      <c r="W4">
        <v>7.7</v>
      </c>
      <c r="X4">
        <v>31.2</v>
      </c>
      <c r="Y4" s="1">
        <f t="shared" si="0"/>
        <v>0.88649072517248184</v>
      </c>
      <c r="Z4" s="1">
        <f t="shared" si="1"/>
        <v>1.4941545940184429</v>
      </c>
    </row>
    <row r="5" spans="1:26" x14ac:dyDescent="0.2">
      <c r="A5">
        <v>4</v>
      </c>
      <c r="B5" t="s">
        <v>24</v>
      </c>
      <c r="C5" t="s">
        <v>25</v>
      </c>
      <c r="D5" t="s">
        <v>26</v>
      </c>
      <c r="E5">
        <v>2</v>
      </c>
      <c r="F5">
        <v>1979</v>
      </c>
      <c r="G5" t="s">
        <v>27</v>
      </c>
      <c r="H5" t="s">
        <v>28</v>
      </c>
      <c r="I5" t="s">
        <v>29</v>
      </c>
      <c r="J5" t="s">
        <v>28</v>
      </c>
      <c r="K5" t="s">
        <v>30</v>
      </c>
      <c r="L5" t="s">
        <v>30</v>
      </c>
      <c r="M5" t="s">
        <v>29</v>
      </c>
      <c r="N5" t="s">
        <v>29</v>
      </c>
      <c r="O5" t="s">
        <v>30</v>
      </c>
      <c r="P5" t="s">
        <v>30</v>
      </c>
      <c r="Q5" t="s">
        <v>30</v>
      </c>
      <c r="R5" t="s">
        <v>30</v>
      </c>
      <c r="S5" t="s">
        <v>28</v>
      </c>
      <c r="T5" t="s">
        <v>28</v>
      </c>
      <c r="U5" t="s">
        <v>30</v>
      </c>
      <c r="V5" t="s">
        <v>29</v>
      </c>
      <c r="W5">
        <v>8.1999999999999993</v>
      </c>
      <c r="X5">
        <v>36</v>
      </c>
      <c r="Y5" s="1">
        <f t="shared" si="0"/>
        <v>0.91381385238371671</v>
      </c>
      <c r="Z5" s="1">
        <f t="shared" si="1"/>
        <v>1.5563025007672873</v>
      </c>
    </row>
    <row r="6" spans="1:26" x14ac:dyDescent="0.2">
      <c r="A6">
        <v>5</v>
      </c>
      <c r="B6" t="s">
        <v>24</v>
      </c>
      <c r="C6" t="s">
        <v>25</v>
      </c>
      <c r="D6" t="s">
        <v>26</v>
      </c>
      <c r="E6">
        <v>2</v>
      </c>
      <c r="F6">
        <v>1979</v>
      </c>
      <c r="G6" t="s">
        <v>27</v>
      </c>
      <c r="H6" t="s">
        <v>28</v>
      </c>
      <c r="I6" t="s">
        <v>29</v>
      </c>
      <c r="J6" t="s">
        <v>28</v>
      </c>
      <c r="K6" t="s">
        <v>30</v>
      </c>
      <c r="L6" t="s">
        <v>30</v>
      </c>
      <c r="M6" t="s">
        <v>29</v>
      </c>
      <c r="N6" t="s">
        <v>29</v>
      </c>
      <c r="O6" t="s">
        <v>30</v>
      </c>
      <c r="P6" t="s">
        <v>30</v>
      </c>
      <c r="Q6" t="s">
        <v>30</v>
      </c>
      <c r="R6" t="s">
        <v>30</v>
      </c>
      <c r="S6" t="s">
        <v>28</v>
      </c>
      <c r="T6" t="s">
        <v>28</v>
      </c>
      <c r="U6" t="s">
        <v>30</v>
      </c>
      <c r="V6" t="s">
        <v>29</v>
      </c>
      <c r="W6">
        <v>9.6999999999999993</v>
      </c>
      <c r="X6">
        <v>25.2</v>
      </c>
      <c r="Y6" s="1">
        <f t="shared" si="0"/>
        <v>0.98677173426624487</v>
      </c>
      <c r="Z6" s="1">
        <f t="shared" si="1"/>
        <v>1.4014005407815442</v>
      </c>
    </row>
    <row r="7" spans="1:26" x14ac:dyDescent="0.2">
      <c r="A7">
        <v>6</v>
      </c>
      <c r="B7" t="s">
        <v>24</v>
      </c>
      <c r="C7" t="s">
        <v>25</v>
      </c>
      <c r="D7" t="s">
        <v>26</v>
      </c>
      <c r="E7">
        <v>2</v>
      </c>
      <c r="F7">
        <v>1979</v>
      </c>
      <c r="G7" t="s">
        <v>27</v>
      </c>
      <c r="H7" t="s">
        <v>28</v>
      </c>
      <c r="I7" t="s">
        <v>29</v>
      </c>
      <c r="J7" t="s">
        <v>28</v>
      </c>
      <c r="K7" t="s">
        <v>30</v>
      </c>
      <c r="L7" t="s">
        <v>30</v>
      </c>
      <c r="M7" t="s">
        <v>29</v>
      </c>
      <c r="N7" t="s">
        <v>29</v>
      </c>
      <c r="O7" t="s">
        <v>30</v>
      </c>
      <c r="P7" t="s">
        <v>30</v>
      </c>
      <c r="Q7" t="s">
        <v>30</v>
      </c>
      <c r="R7" t="s">
        <v>30</v>
      </c>
      <c r="S7" t="s">
        <v>28</v>
      </c>
      <c r="T7" t="s">
        <v>28</v>
      </c>
      <c r="U7" t="s">
        <v>30</v>
      </c>
      <c r="V7" t="s">
        <v>29</v>
      </c>
      <c r="W7">
        <v>2.2000000000000002</v>
      </c>
      <c r="X7">
        <v>8.4</v>
      </c>
      <c r="Y7" s="1">
        <f t="shared" si="0"/>
        <v>0.34242268082220628</v>
      </c>
      <c r="Z7" s="1">
        <f t="shared" si="1"/>
        <v>0.9242792860618817</v>
      </c>
    </row>
    <row r="8" spans="1:26" x14ac:dyDescent="0.2">
      <c r="A8">
        <v>7</v>
      </c>
      <c r="B8" t="s">
        <v>24</v>
      </c>
      <c r="C8" t="s">
        <v>25</v>
      </c>
      <c r="D8" t="s">
        <v>26</v>
      </c>
      <c r="E8">
        <v>2</v>
      </c>
      <c r="F8">
        <v>1979</v>
      </c>
      <c r="G8" t="s">
        <v>27</v>
      </c>
      <c r="H8" t="s">
        <v>28</v>
      </c>
      <c r="I8" t="s">
        <v>29</v>
      </c>
      <c r="J8" t="s">
        <v>28</v>
      </c>
      <c r="K8" t="s">
        <v>30</v>
      </c>
      <c r="L8" t="s">
        <v>30</v>
      </c>
      <c r="M8" t="s">
        <v>29</v>
      </c>
      <c r="N8" t="s">
        <v>29</v>
      </c>
      <c r="O8" t="s">
        <v>30</v>
      </c>
      <c r="P8" t="s">
        <v>30</v>
      </c>
      <c r="Q8" t="s">
        <v>30</v>
      </c>
      <c r="R8" t="s">
        <v>30</v>
      </c>
      <c r="S8" t="s">
        <v>28</v>
      </c>
      <c r="T8" t="s">
        <v>28</v>
      </c>
      <c r="U8" t="s">
        <v>30</v>
      </c>
      <c r="V8" t="s">
        <v>29</v>
      </c>
      <c r="W8">
        <v>3.5</v>
      </c>
      <c r="X8">
        <v>10.8</v>
      </c>
      <c r="Y8" s="1">
        <f t="shared" si="0"/>
        <v>0.54406804435027567</v>
      </c>
      <c r="Z8" s="1">
        <f t="shared" si="1"/>
        <v>1.0334237554869496</v>
      </c>
    </row>
    <row r="9" spans="1:26" x14ac:dyDescent="0.2">
      <c r="A9">
        <v>8</v>
      </c>
      <c r="B9" t="s">
        <v>31</v>
      </c>
      <c r="C9" t="s">
        <v>25</v>
      </c>
      <c r="D9" t="s">
        <v>26</v>
      </c>
      <c r="E9">
        <v>2</v>
      </c>
      <c r="F9">
        <v>1982</v>
      </c>
      <c r="G9" t="s">
        <v>27</v>
      </c>
      <c r="H9" t="s">
        <v>28</v>
      </c>
      <c r="I9" t="s">
        <v>29</v>
      </c>
      <c r="J9" t="s">
        <v>28</v>
      </c>
      <c r="K9" t="s">
        <v>30</v>
      </c>
      <c r="L9" t="s">
        <v>30</v>
      </c>
      <c r="M9" t="s">
        <v>29</v>
      </c>
      <c r="N9" t="s">
        <v>29</v>
      </c>
      <c r="O9" t="s">
        <v>30</v>
      </c>
      <c r="P9" t="s">
        <v>30</v>
      </c>
      <c r="Q9" t="s">
        <v>30</v>
      </c>
      <c r="R9" t="s">
        <v>30</v>
      </c>
      <c r="S9" t="s">
        <v>28</v>
      </c>
      <c r="T9" t="s">
        <v>28</v>
      </c>
      <c r="U9" t="s">
        <v>30</v>
      </c>
      <c r="V9" t="s">
        <v>29</v>
      </c>
      <c r="W9">
        <v>66.599999999999994</v>
      </c>
      <c r="X9">
        <v>352.8</v>
      </c>
      <c r="Y9" s="1">
        <f t="shared" si="0"/>
        <v>1.823474229170301</v>
      </c>
      <c r="Z9" s="1">
        <f t="shared" si="1"/>
        <v>2.5475285764597819</v>
      </c>
    </row>
    <row r="10" spans="1:26" x14ac:dyDescent="0.2">
      <c r="A10">
        <v>9</v>
      </c>
      <c r="B10" t="s">
        <v>32</v>
      </c>
      <c r="C10" t="s">
        <v>33</v>
      </c>
      <c r="D10" t="s">
        <v>26</v>
      </c>
      <c r="E10">
        <v>1</v>
      </c>
      <c r="F10">
        <v>1980</v>
      </c>
      <c r="G10" t="s">
        <v>27</v>
      </c>
      <c r="H10" t="s">
        <v>28</v>
      </c>
      <c r="I10" t="s">
        <v>29</v>
      </c>
      <c r="J10" t="s">
        <v>28</v>
      </c>
      <c r="K10" t="s">
        <v>34</v>
      </c>
      <c r="L10" t="s">
        <v>34</v>
      </c>
      <c r="M10" t="s">
        <v>29</v>
      </c>
      <c r="N10" t="s">
        <v>28</v>
      </c>
      <c r="O10" t="s">
        <v>28</v>
      </c>
      <c r="P10" t="s">
        <v>28</v>
      </c>
      <c r="Q10" t="s">
        <v>28</v>
      </c>
      <c r="R10" t="s">
        <v>30</v>
      </c>
      <c r="S10" t="s">
        <v>28</v>
      </c>
      <c r="T10" t="s">
        <v>28</v>
      </c>
      <c r="U10" t="s">
        <v>28</v>
      </c>
      <c r="V10" t="s">
        <v>30</v>
      </c>
      <c r="W10">
        <v>7.5</v>
      </c>
      <c r="X10">
        <v>72</v>
      </c>
      <c r="Y10" s="1">
        <f t="shared" si="0"/>
        <v>0.87506126339170009</v>
      </c>
      <c r="Z10" s="1">
        <f t="shared" si="1"/>
        <v>1.8573324964312685</v>
      </c>
    </row>
    <row r="11" spans="1:26" x14ac:dyDescent="0.2">
      <c r="A11">
        <v>10</v>
      </c>
      <c r="B11" t="s">
        <v>32</v>
      </c>
      <c r="C11" t="s">
        <v>33</v>
      </c>
      <c r="D11" t="s">
        <v>26</v>
      </c>
      <c r="E11">
        <v>1</v>
      </c>
      <c r="F11">
        <v>1980</v>
      </c>
      <c r="G11" t="s">
        <v>27</v>
      </c>
      <c r="H11" t="s">
        <v>30</v>
      </c>
      <c r="I11" t="s">
        <v>29</v>
      </c>
      <c r="J11" t="s">
        <v>28</v>
      </c>
      <c r="K11" t="s">
        <v>30</v>
      </c>
      <c r="L11" t="s">
        <v>30</v>
      </c>
      <c r="M11" t="s">
        <v>29</v>
      </c>
      <c r="N11" t="s">
        <v>29</v>
      </c>
      <c r="O11" t="s">
        <v>28</v>
      </c>
      <c r="P11" t="s">
        <v>35</v>
      </c>
      <c r="Q11" t="s">
        <v>35</v>
      </c>
      <c r="R11" t="s">
        <v>30</v>
      </c>
      <c r="S11" t="s">
        <v>28</v>
      </c>
      <c r="T11" t="s">
        <v>30</v>
      </c>
      <c r="U11" t="s">
        <v>30</v>
      </c>
      <c r="V11" t="s">
        <v>30</v>
      </c>
      <c r="W11">
        <v>20</v>
      </c>
      <c r="X11">
        <v>72</v>
      </c>
      <c r="Y11" s="1">
        <f t="shared" si="0"/>
        <v>1.3010299956639813</v>
      </c>
      <c r="Z11" s="1">
        <f t="shared" si="1"/>
        <v>1.8573324964312685</v>
      </c>
    </row>
    <row r="12" spans="1:26" x14ac:dyDescent="0.2">
      <c r="A12">
        <v>11</v>
      </c>
      <c r="B12" t="s">
        <v>32</v>
      </c>
      <c r="C12" t="s">
        <v>33</v>
      </c>
      <c r="D12" t="s">
        <v>26</v>
      </c>
      <c r="E12">
        <v>1</v>
      </c>
      <c r="F12">
        <v>1984</v>
      </c>
      <c r="G12" t="s">
        <v>27</v>
      </c>
      <c r="H12" t="s">
        <v>30</v>
      </c>
      <c r="I12" t="s">
        <v>29</v>
      </c>
      <c r="J12" t="s">
        <v>28</v>
      </c>
      <c r="K12" t="s">
        <v>30</v>
      </c>
      <c r="L12" t="s">
        <v>30</v>
      </c>
      <c r="M12" t="s">
        <v>29</v>
      </c>
      <c r="N12" t="s">
        <v>29</v>
      </c>
      <c r="O12" t="s">
        <v>28</v>
      </c>
      <c r="P12" t="s">
        <v>35</v>
      </c>
      <c r="Q12" t="s">
        <v>28</v>
      </c>
      <c r="R12" t="s">
        <v>30</v>
      </c>
      <c r="S12" t="s">
        <v>28</v>
      </c>
      <c r="T12" t="s">
        <v>30</v>
      </c>
      <c r="U12" t="s">
        <v>30</v>
      </c>
      <c r="V12" t="s">
        <v>30</v>
      </c>
      <c r="W12">
        <v>6</v>
      </c>
      <c r="X12">
        <v>24</v>
      </c>
      <c r="Y12" s="1">
        <f t="shared" si="0"/>
        <v>0.77815125038364363</v>
      </c>
      <c r="Z12" s="1">
        <f t="shared" si="1"/>
        <v>1.3802112417116059</v>
      </c>
    </row>
    <row r="13" spans="1:26" x14ac:dyDescent="0.2">
      <c r="A13">
        <v>12</v>
      </c>
      <c r="B13" t="s">
        <v>32</v>
      </c>
      <c r="C13" t="s">
        <v>33</v>
      </c>
      <c r="D13" t="s">
        <v>26</v>
      </c>
      <c r="E13">
        <v>1</v>
      </c>
      <c r="F13">
        <v>1980</v>
      </c>
      <c r="G13" t="s">
        <v>27</v>
      </c>
      <c r="H13" t="s">
        <v>30</v>
      </c>
      <c r="I13" t="s">
        <v>29</v>
      </c>
      <c r="J13" t="s">
        <v>28</v>
      </c>
      <c r="K13" t="s">
        <v>30</v>
      </c>
      <c r="L13" t="s">
        <v>30</v>
      </c>
      <c r="M13" t="s">
        <v>29</v>
      </c>
      <c r="N13" t="s">
        <v>29</v>
      </c>
      <c r="O13" t="s">
        <v>28</v>
      </c>
      <c r="P13" t="s">
        <v>35</v>
      </c>
      <c r="Q13" t="s">
        <v>35</v>
      </c>
      <c r="R13" t="s">
        <v>30</v>
      </c>
      <c r="S13" t="s">
        <v>28</v>
      </c>
      <c r="T13" t="s">
        <v>30</v>
      </c>
      <c r="U13" t="s">
        <v>30</v>
      </c>
      <c r="V13" t="s">
        <v>30</v>
      </c>
      <c r="W13">
        <v>100</v>
      </c>
      <c r="X13">
        <v>360</v>
      </c>
      <c r="Y13" s="1">
        <f t="shared" si="0"/>
        <v>2</v>
      </c>
      <c r="Z13" s="1">
        <f t="shared" si="1"/>
        <v>2.5563025007672873</v>
      </c>
    </row>
    <row r="14" spans="1:26" x14ac:dyDescent="0.2">
      <c r="A14">
        <v>13</v>
      </c>
      <c r="B14" t="s">
        <v>32</v>
      </c>
      <c r="C14" t="s">
        <v>33</v>
      </c>
      <c r="D14" t="s">
        <v>26</v>
      </c>
      <c r="E14">
        <v>1</v>
      </c>
      <c r="F14">
        <v>1985</v>
      </c>
      <c r="G14" t="s">
        <v>27</v>
      </c>
      <c r="H14" t="s">
        <v>30</v>
      </c>
      <c r="I14" t="s">
        <v>29</v>
      </c>
      <c r="J14" t="s">
        <v>28</v>
      </c>
      <c r="K14" t="s">
        <v>30</v>
      </c>
      <c r="L14" t="s">
        <v>30</v>
      </c>
      <c r="M14" t="s">
        <v>29</v>
      </c>
      <c r="N14" t="s">
        <v>29</v>
      </c>
      <c r="O14" t="s">
        <v>28</v>
      </c>
      <c r="P14" t="s">
        <v>35</v>
      </c>
      <c r="Q14" t="s">
        <v>30</v>
      </c>
      <c r="R14" t="s">
        <v>30</v>
      </c>
      <c r="S14" t="s">
        <v>29</v>
      </c>
      <c r="T14" t="s">
        <v>30</v>
      </c>
      <c r="U14" t="s">
        <v>30</v>
      </c>
      <c r="V14" t="s">
        <v>30</v>
      </c>
      <c r="W14">
        <v>11.3</v>
      </c>
      <c r="X14">
        <v>36</v>
      </c>
      <c r="Y14" s="1">
        <f t="shared" si="0"/>
        <v>1.0530784434834197</v>
      </c>
      <c r="Z14" s="1">
        <f t="shared" si="1"/>
        <v>1.5563025007672873</v>
      </c>
    </row>
    <row r="15" spans="1:26" x14ac:dyDescent="0.2">
      <c r="A15">
        <v>14</v>
      </c>
      <c r="B15" t="s">
        <v>32</v>
      </c>
      <c r="C15" t="s">
        <v>33</v>
      </c>
      <c r="D15" t="s">
        <v>26</v>
      </c>
      <c r="E15">
        <v>1</v>
      </c>
      <c r="F15">
        <v>1980</v>
      </c>
      <c r="G15" t="s">
        <v>27</v>
      </c>
      <c r="H15" t="s">
        <v>30</v>
      </c>
      <c r="I15" t="s">
        <v>29</v>
      </c>
      <c r="J15" t="s">
        <v>28</v>
      </c>
      <c r="K15" t="s">
        <v>30</v>
      </c>
      <c r="L15" t="s">
        <v>30</v>
      </c>
      <c r="M15" t="s">
        <v>28</v>
      </c>
      <c r="N15" t="s">
        <v>29</v>
      </c>
      <c r="O15" t="s">
        <v>28</v>
      </c>
      <c r="P15" t="s">
        <v>28</v>
      </c>
      <c r="Q15" t="s">
        <v>28</v>
      </c>
      <c r="R15" t="s">
        <v>29</v>
      </c>
      <c r="S15" t="s">
        <v>36</v>
      </c>
      <c r="T15" t="s">
        <v>30</v>
      </c>
      <c r="U15" t="s">
        <v>30</v>
      </c>
      <c r="V15" t="s">
        <v>30</v>
      </c>
      <c r="W15">
        <v>100</v>
      </c>
      <c r="X15">
        <v>215</v>
      </c>
      <c r="Y15" s="1">
        <f t="shared" si="0"/>
        <v>2</v>
      </c>
      <c r="Z15" s="1">
        <f t="shared" si="1"/>
        <v>2.3324384599156054</v>
      </c>
    </row>
    <row r="16" spans="1:26" x14ac:dyDescent="0.2">
      <c r="A16">
        <v>15</v>
      </c>
      <c r="B16" t="s">
        <v>32</v>
      </c>
      <c r="C16" t="s">
        <v>33</v>
      </c>
      <c r="D16" t="s">
        <v>26</v>
      </c>
      <c r="E16">
        <v>1</v>
      </c>
      <c r="F16">
        <v>1983</v>
      </c>
      <c r="G16" t="s">
        <v>27</v>
      </c>
      <c r="H16" t="s">
        <v>30</v>
      </c>
      <c r="I16" t="s">
        <v>29</v>
      </c>
      <c r="J16" t="s">
        <v>28</v>
      </c>
      <c r="K16" t="s">
        <v>30</v>
      </c>
      <c r="L16" t="s">
        <v>30</v>
      </c>
      <c r="M16" t="s">
        <v>29</v>
      </c>
      <c r="N16" t="s">
        <v>29</v>
      </c>
      <c r="O16" t="s">
        <v>28</v>
      </c>
      <c r="P16" t="s">
        <v>35</v>
      </c>
      <c r="Q16" t="s">
        <v>28</v>
      </c>
      <c r="R16" t="s">
        <v>30</v>
      </c>
      <c r="S16" t="s">
        <v>28</v>
      </c>
      <c r="T16" t="s">
        <v>30</v>
      </c>
      <c r="U16" t="s">
        <v>30</v>
      </c>
      <c r="V16" t="s">
        <v>30</v>
      </c>
      <c r="W16">
        <v>20</v>
      </c>
      <c r="X16">
        <v>48</v>
      </c>
      <c r="Y16" s="1">
        <f t="shared" si="0"/>
        <v>1.3010299956639813</v>
      </c>
      <c r="Z16" s="1">
        <f t="shared" si="1"/>
        <v>1.6812412373755872</v>
      </c>
    </row>
    <row r="17" spans="1:26" x14ac:dyDescent="0.2">
      <c r="A17">
        <v>16</v>
      </c>
      <c r="B17" t="s">
        <v>32</v>
      </c>
      <c r="C17" t="s">
        <v>33</v>
      </c>
      <c r="D17" t="s">
        <v>26</v>
      </c>
      <c r="E17">
        <v>1</v>
      </c>
      <c r="F17">
        <v>1982</v>
      </c>
      <c r="G17" t="s">
        <v>27</v>
      </c>
      <c r="H17" t="s">
        <v>30</v>
      </c>
      <c r="I17" t="s">
        <v>29</v>
      </c>
      <c r="J17" t="s">
        <v>28</v>
      </c>
      <c r="K17" t="s">
        <v>30</v>
      </c>
      <c r="L17" t="s">
        <v>30</v>
      </c>
      <c r="M17" t="s">
        <v>29</v>
      </c>
      <c r="N17" t="s">
        <v>29</v>
      </c>
      <c r="O17" t="s">
        <v>28</v>
      </c>
      <c r="P17" t="s">
        <v>30</v>
      </c>
      <c r="Q17" t="s">
        <v>30</v>
      </c>
      <c r="R17" t="s">
        <v>30</v>
      </c>
      <c r="S17" t="s">
        <v>36</v>
      </c>
      <c r="T17" t="s">
        <v>30</v>
      </c>
      <c r="U17" t="s">
        <v>30</v>
      </c>
      <c r="V17" t="s">
        <v>30</v>
      </c>
      <c r="W17">
        <v>100</v>
      </c>
      <c r="X17">
        <v>360</v>
      </c>
      <c r="Y17" s="1">
        <f t="shared" si="0"/>
        <v>2</v>
      </c>
      <c r="Z17" s="1">
        <f t="shared" si="1"/>
        <v>2.5563025007672873</v>
      </c>
    </row>
    <row r="18" spans="1:26" x14ac:dyDescent="0.2">
      <c r="A18">
        <v>17</v>
      </c>
      <c r="B18" t="s">
        <v>32</v>
      </c>
      <c r="C18" t="s">
        <v>33</v>
      </c>
      <c r="D18" t="s">
        <v>26</v>
      </c>
      <c r="E18">
        <v>1</v>
      </c>
      <c r="F18">
        <v>1980</v>
      </c>
      <c r="G18" t="s">
        <v>27</v>
      </c>
      <c r="H18" t="s">
        <v>30</v>
      </c>
      <c r="I18" t="s">
        <v>29</v>
      </c>
      <c r="J18" t="s">
        <v>28</v>
      </c>
      <c r="K18" t="s">
        <v>30</v>
      </c>
      <c r="L18" t="s">
        <v>34</v>
      </c>
      <c r="M18" t="s">
        <v>29</v>
      </c>
      <c r="N18" t="s">
        <v>29</v>
      </c>
      <c r="O18" t="s">
        <v>28</v>
      </c>
      <c r="P18" t="s">
        <v>35</v>
      </c>
      <c r="Q18" t="s">
        <v>35</v>
      </c>
      <c r="R18" t="s">
        <v>30</v>
      </c>
      <c r="S18" t="s">
        <v>28</v>
      </c>
      <c r="T18" t="s">
        <v>30</v>
      </c>
      <c r="U18" t="s">
        <v>30</v>
      </c>
      <c r="V18" t="s">
        <v>30</v>
      </c>
      <c r="W18">
        <v>150</v>
      </c>
      <c r="X18">
        <v>324</v>
      </c>
      <c r="Y18" s="1">
        <f t="shared" si="0"/>
        <v>2.1760912590556813</v>
      </c>
      <c r="Z18" s="1">
        <f t="shared" si="1"/>
        <v>2.510545010206612</v>
      </c>
    </row>
    <row r="19" spans="1:26" x14ac:dyDescent="0.2">
      <c r="A19">
        <v>18</v>
      </c>
      <c r="B19" t="s">
        <v>32</v>
      </c>
      <c r="C19" t="s">
        <v>33</v>
      </c>
      <c r="D19" t="s">
        <v>26</v>
      </c>
      <c r="E19">
        <v>1</v>
      </c>
      <c r="F19">
        <v>1984</v>
      </c>
      <c r="G19" t="s">
        <v>27</v>
      </c>
      <c r="H19" t="s">
        <v>30</v>
      </c>
      <c r="I19" t="s">
        <v>29</v>
      </c>
      <c r="J19" t="s">
        <v>28</v>
      </c>
      <c r="K19" t="s">
        <v>30</v>
      </c>
      <c r="L19" t="s">
        <v>30</v>
      </c>
      <c r="M19" t="s">
        <v>29</v>
      </c>
      <c r="N19" t="s">
        <v>29</v>
      </c>
      <c r="O19" t="s">
        <v>28</v>
      </c>
      <c r="P19" t="s">
        <v>28</v>
      </c>
      <c r="Q19" t="s">
        <v>28</v>
      </c>
      <c r="R19" t="s">
        <v>30</v>
      </c>
      <c r="S19" t="s">
        <v>28</v>
      </c>
      <c r="T19" t="s">
        <v>30</v>
      </c>
      <c r="U19" t="s">
        <v>30</v>
      </c>
      <c r="V19" t="s">
        <v>30</v>
      </c>
      <c r="W19">
        <v>31.5</v>
      </c>
      <c r="X19">
        <v>60</v>
      </c>
      <c r="Y19" s="1">
        <f t="shared" si="0"/>
        <v>1.4983105537896004</v>
      </c>
      <c r="Z19" s="1">
        <f t="shared" si="1"/>
        <v>1.7781512503836436</v>
      </c>
    </row>
    <row r="20" spans="1:26" x14ac:dyDescent="0.2">
      <c r="A20">
        <v>19</v>
      </c>
      <c r="B20" t="s">
        <v>32</v>
      </c>
      <c r="C20" t="s">
        <v>33</v>
      </c>
      <c r="D20" t="s">
        <v>26</v>
      </c>
      <c r="E20">
        <v>1</v>
      </c>
      <c r="F20">
        <v>1983</v>
      </c>
      <c r="G20" t="s">
        <v>27</v>
      </c>
      <c r="H20" t="s">
        <v>30</v>
      </c>
      <c r="I20" t="s">
        <v>29</v>
      </c>
      <c r="J20" t="s">
        <v>28</v>
      </c>
      <c r="K20" t="s">
        <v>30</v>
      </c>
      <c r="L20" t="s">
        <v>30</v>
      </c>
      <c r="M20" t="s">
        <v>29</v>
      </c>
      <c r="N20" t="s">
        <v>29</v>
      </c>
      <c r="O20" t="s">
        <v>28</v>
      </c>
      <c r="P20" t="s">
        <v>35</v>
      </c>
      <c r="Q20" t="s">
        <v>28</v>
      </c>
      <c r="R20" t="s">
        <v>30</v>
      </c>
      <c r="S20" t="s">
        <v>28</v>
      </c>
      <c r="T20" t="s">
        <v>30</v>
      </c>
      <c r="U20" t="s">
        <v>30</v>
      </c>
      <c r="V20" t="s">
        <v>30</v>
      </c>
      <c r="W20">
        <v>15</v>
      </c>
      <c r="X20">
        <v>48</v>
      </c>
      <c r="Y20" s="1">
        <f t="shared" si="0"/>
        <v>1.1760912590556813</v>
      </c>
      <c r="Z20" s="1">
        <f t="shared" si="1"/>
        <v>1.6812412373755872</v>
      </c>
    </row>
    <row r="21" spans="1:26" x14ac:dyDescent="0.2">
      <c r="A21">
        <v>20</v>
      </c>
      <c r="B21" t="s">
        <v>32</v>
      </c>
      <c r="C21" t="s">
        <v>33</v>
      </c>
      <c r="D21" t="s">
        <v>26</v>
      </c>
      <c r="E21">
        <v>1</v>
      </c>
      <c r="F21">
        <v>1984</v>
      </c>
      <c r="G21" t="s">
        <v>27</v>
      </c>
      <c r="H21" t="s">
        <v>30</v>
      </c>
      <c r="I21" t="s">
        <v>29</v>
      </c>
      <c r="J21" t="s">
        <v>28</v>
      </c>
      <c r="K21" t="s">
        <v>30</v>
      </c>
      <c r="L21" t="s">
        <v>34</v>
      </c>
      <c r="M21" t="s">
        <v>29</v>
      </c>
      <c r="N21" t="s">
        <v>29</v>
      </c>
      <c r="O21" t="s">
        <v>28</v>
      </c>
      <c r="P21" t="s">
        <v>28</v>
      </c>
      <c r="Q21" t="s">
        <v>30</v>
      </c>
      <c r="R21" t="s">
        <v>30</v>
      </c>
      <c r="S21" t="s">
        <v>28</v>
      </c>
      <c r="T21" t="s">
        <v>30</v>
      </c>
      <c r="U21" t="s">
        <v>30</v>
      </c>
      <c r="V21" t="s">
        <v>30</v>
      </c>
      <c r="W21">
        <v>32.5</v>
      </c>
      <c r="X21">
        <v>60</v>
      </c>
      <c r="Y21" s="1">
        <f t="shared" si="0"/>
        <v>1.5118833609788744</v>
      </c>
      <c r="Z21" s="1">
        <f t="shared" si="1"/>
        <v>1.7781512503836436</v>
      </c>
    </row>
    <row r="22" spans="1:26" x14ac:dyDescent="0.2">
      <c r="A22">
        <v>21</v>
      </c>
      <c r="B22" t="s">
        <v>37</v>
      </c>
      <c r="C22" t="s">
        <v>25</v>
      </c>
      <c r="D22" t="s">
        <v>26</v>
      </c>
      <c r="E22">
        <v>2</v>
      </c>
      <c r="F22">
        <v>1985</v>
      </c>
      <c r="G22" t="s">
        <v>27</v>
      </c>
      <c r="H22" t="s">
        <v>28</v>
      </c>
      <c r="I22" t="s">
        <v>29</v>
      </c>
      <c r="J22" t="s">
        <v>28</v>
      </c>
      <c r="K22" t="s">
        <v>30</v>
      </c>
      <c r="L22" t="s">
        <v>30</v>
      </c>
      <c r="M22" t="s">
        <v>29</v>
      </c>
      <c r="N22" t="s">
        <v>29</v>
      </c>
      <c r="O22" t="s">
        <v>30</v>
      </c>
      <c r="P22" t="s">
        <v>30</v>
      </c>
      <c r="Q22" t="s">
        <v>30</v>
      </c>
      <c r="R22" t="s">
        <v>30</v>
      </c>
      <c r="S22" t="s">
        <v>28</v>
      </c>
      <c r="T22" t="s">
        <v>28</v>
      </c>
      <c r="U22" t="s">
        <v>30</v>
      </c>
      <c r="V22" t="s">
        <v>29</v>
      </c>
      <c r="W22">
        <v>19.7</v>
      </c>
      <c r="X22">
        <v>60</v>
      </c>
      <c r="Y22" s="1">
        <f t="shared" si="0"/>
        <v>1.2944662261615929</v>
      </c>
      <c r="Z22" s="1">
        <f t="shared" si="1"/>
        <v>1.7781512503836436</v>
      </c>
    </row>
    <row r="23" spans="1:26" x14ac:dyDescent="0.2">
      <c r="A23">
        <v>22</v>
      </c>
      <c r="B23" t="s">
        <v>37</v>
      </c>
      <c r="C23" t="s">
        <v>25</v>
      </c>
      <c r="D23" t="s">
        <v>26</v>
      </c>
      <c r="E23">
        <v>2</v>
      </c>
      <c r="F23">
        <v>1985</v>
      </c>
      <c r="G23" t="s">
        <v>27</v>
      </c>
      <c r="H23" t="s">
        <v>28</v>
      </c>
      <c r="I23" t="s">
        <v>29</v>
      </c>
      <c r="J23" t="s">
        <v>28</v>
      </c>
      <c r="K23" t="s">
        <v>30</v>
      </c>
      <c r="L23" t="s">
        <v>30</v>
      </c>
      <c r="M23" t="s">
        <v>29</v>
      </c>
      <c r="N23" t="s">
        <v>29</v>
      </c>
      <c r="O23" t="s">
        <v>30</v>
      </c>
      <c r="P23" t="s">
        <v>30</v>
      </c>
      <c r="Q23" t="s">
        <v>30</v>
      </c>
      <c r="R23" t="s">
        <v>30</v>
      </c>
      <c r="S23" t="s">
        <v>28</v>
      </c>
      <c r="T23" t="s">
        <v>28</v>
      </c>
      <c r="U23" t="s">
        <v>30</v>
      </c>
      <c r="V23" t="s">
        <v>29</v>
      </c>
      <c r="W23">
        <v>66.599999999999994</v>
      </c>
      <c r="X23">
        <v>300</v>
      </c>
      <c r="Y23" s="1">
        <f t="shared" si="0"/>
        <v>1.823474229170301</v>
      </c>
      <c r="Z23" s="1">
        <f t="shared" si="1"/>
        <v>2.4771212547196626</v>
      </c>
    </row>
    <row r="24" spans="1:26" x14ac:dyDescent="0.2">
      <c r="A24">
        <v>23</v>
      </c>
      <c r="B24" t="s">
        <v>37</v>
      </c>
      <c r="C24" t="s">
        <v>38</v>
      </c>
      <c r="D24" t="s">
        <v>26</v>
      </c>
      <c r="E24">
        <v>2</v>
      </c>
      <c r="F24">
        <v>1985</v>
      </c>
      <c r="G24" t="s">
        <v>27</v>
      </c>
      <c r="H24" t="s">
        <v>28</v>
      </c>
      <c r="I24" t="s">
        <v>29</v>
      </c>
      <c r="J24" t="s">
        <v>28</v>
      </c>
      <c r="K24" t="s">
        <v>30</v>
      </c>
      <c r="L24" t="s">
        <v>30</v>
      </c>
      <c r="M24" t="s">
        <v>29</v>
      </c>
      <c r="N24" t="s">
        <v>29</v>
      </c>
      <c r="O24" t="s">
        <v>30</v>
      </c>
      <c r="P24" t="s">
        <v>30</v>
      </c>
      <c r="Q24" t="s">
        <v>30</v>
      </c>
      <c r="R24" t="s">
        <v>30</v>
      </c>
      <c r="S24" t="s">
        <v>28</v>
      </c>
      <c r="T24" t="s">
        <v>28</v>
      </c>
      <c r="U24" t="s">
        <v>30</v>
      </c>
      <c r="V24" t="s">
        <v>29</v>
      </c>
      <c r="W24">
        <v>29.5</v>
      </c>
      <c r="X24">
        <v>120</v>
      </c>
      <c r="Y24" s="1">
        <f t="shared" si="0"/>
        <v>1.469822015978163</v>
      </c>
      <c r="Z24" s="1">
        <f t="shared" si="1"/>
        <v>2.0791812460476247</v>
      </c>
    </row>
    <row r="25" spans="1:26" x14ac:dyDescent="0.2">
      <c r="A25">
        <v>24</v>
      </c>
      <c r="B25" t="s">
        <v>37</v>
      </c>
      <c r="C25" t="s">
        <v>39</v>
      </c>
      <c r="D25" t="s">
        <v>26</v>
      </c>
      <c r="E25">
        <v>2</v>
      </c>
      <c r="F25">
        <v>1986</v>
      </c>
      <c r="G25" t="s">
        <v>27</v>
      </c>
      <c r="H25" t="s">
        <v>28</v>
      </c>
      <c r="I25" t="s">
        <v>30</v>
      </c>
      <c r="J25" t="s">
        <v>30</v>
      </c>
      <c r="K25" t="s">
        <v>28</v>
      </c>
      <c r="L25" t="s">
        <v>30</v>
      </c>
      <c r="M25" t="s">
        <v>30</v>
      </c>
      <c r="N25" t="s">
        <v>30</v>
      </c>
      <c r="O25" t="s">
        <v>30</v>
      </c>
      <c r="P25" t="s">
        <v>28</v>
      </c>
      <c r="Q25" t="s">
        <v>28</v>
      </c>
      <c r="R25" t="s">
        <v>30</v>
      </c>
      <c r="S25" t="s">
        <v>30</v>
      </c>
      <c r="T25" t="s">
        <v>30</v>
      </c>
      <c r="U25" t="s">
        <v>30</v>
      </c>
      <c r="V25" t="s">
        <v>30</v>
      </c>
      <c r="W25">
        <v>15</v>
      </c>
      <c r="X25">
        <v>90</v>
      </c>
      <c r="Y25" s="1">
        <f t="shared" si="0"/>
        <v>1.1760912590556813</v>
      </c>
      <c r="Z25" s="1">
        <f t="shared" si="1"/>
        <v>1.954242509439325</v>
      </c>
    </row>
    <row r="26" spans="1:26" x14ac:dyDescent="0.2">
      <c r="A26">
        <v>25</v>
      </c>
      <c r="B26" t="s">
        <v>37</v>
      </c>
      <c r="C26" t="s">
        <v>39</v>
      </c>
      <c r="D26" t="s">
        <v>26</v>
      </c>
      <c r="E26">
        <v>2</v>
      </c>
      <c r="F26">
        <v>1986</v>
      </c>
      <c r="G26" t="s">
        <v>27</v>
      </c>
      <c r="H26" t="s">
        <v>28</v>
      </c>
      <c r="I26" t="s">
        <v>30</v>
      </c>
      <c r="J26" t="s">
        <v>28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28</v>
      </c>
      <c r="Q26" t="s">
        <v>28</v>
      </c>
      <c r="R26" t="s">
        <v>30</v>
      </c>
      <c r="S26" t="s">
        <v>30</v>
      </c>
      <c r="T26" t="s">
        <v>30</v>
      </c>
      <c r="U26" t="s">
        <v>30</v>
      </c>
      <c r="V26" t="s">
        <v>30</v>
      </c>
      <c r="W26">
        <v>38</v>
      </c>
      <c r="X26">
        <v>210</v>
      </c>
      <c r="Y26" s="1">
        <f t="shared" si="0"/>
        <v>1.5797835966168101</v>
      </c>
      <c r="Z26" s="1">
        <f t="shared" si="1"/>
        <v>2.3222192947339191</v>
      </c>
    </row>
    <row r="27" spans="1:26" x14ac:dyDescent="0.2">
      <c r="A27">
        <v>26</v>
      </c>
      <c r="B27" t="s">
        <v>37</v>
      </c>
      <c r="C27" t="s">
        <v>39</v>
      </c>
      <c r="D27" t="s">
        <v>26</v>
      </c>
      <c r="E27">
        <v>2</v>
      </c>
      <c r="F27">
        <v>1986</v>
      </c>
      <c r="G27" t="s">
        <v>27</v>
      </c>
      <c r="H27" t="s">
        <v>30</v>
      </c>
      <c r="I27" t="s">
        <v>30</v>
      </c>
      <c r="J27" t="s">
        <v>30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28</v>
      </c>
      <c r="Q27" t="s">
        <v>28</v>
      </c>
      <c r="R27" t="s">
        <v>30</v>
      </c>
      <c r="S27" t="s">
        <v>30</v>
      </c>
      <c r="T27" t="s">
        <v>30</v>
      </c>
      <c r="U27" t="s">
        <v>30</v>
      </c>
      <c r="V27" t="s">
        <v>30</v>
      </c>
      <c r="W27">
        <v>10</v>
      </c>
      <c r="X27">
        <v>48</v>
      </c>
      <c r="Y27" s="1">
        <f t="shared" si="0"/>
        <v>1</v>
      </c>
      <c r="Z27" s="1">
        <f t="shared" si="1"/>
        <v>1.6812412373755872</v>
      </c>
    </row>
    <row r="28" spans="1:26" x14ac:dyDescent="0.2">
      <c r="A28">
        <v>27</v>
      </c>
      <c r="B28" t="s">
        <v>37</v>
      </c>
      <c r="C28" t="s">
        <v>40</v>
      </c>
      <c r="D28" t="s">
        <v>26</v>
      </c>
      <c r="E28">
        <v>2</v>
      </c>
      <c r="F28">
        <v>1982</v>
      </c>
      <c r="G28" t="s">
        <v>27</v>
      </c>
      <c r="H28" t="s">
        <v>30</v>
      </c>
      <c r="I28" t="s">
        <v>35</v>
      </c>
      <c r="J28" t="s">
        <v>28</v>
      </c>
      <c r="K28" t="s">
        <v>35</v>
      </c>
      <c r="L28" t="s">
        <v>35</v>
      </c>
      <c r="M28" t="s">
        <v>29</v>
      </c>
      <c r="N28" t="s">
        <v>28</v>
      </c>
      <c r="O28" t="s">
        <v>35</v>
      </c>
      <c r="P28" t="s">
        <v>28</v>
      </c>
      <c r="Q28" t="s">
        <v>30</v>
      </c>
      <c r="R28" t="s">
        <v>29</v>
      </c>
      <c r="S28" t="s">
        <v>28</v>
      </c>
      <c r="T28" t="s">
        <v>35</v>
      </c>
      <c r="U28" t="s">
        <v>35</v>
      </c>
      <c r="V28" t="s">
        <v>29</v>
      </c>
      <c r="W28">
        <v>15.4</v>
      </c>
      <c r="X28">
        <v>70</v>
      </c>
      <c r="Y28" s="1">
        <f t="shared" si="0"/>
        <v>1.1875207208364631</v>
      </c>
      <c r="Z28" s="1">
        <f t="shared" si="1"/>
        <v>1.8450980400142569</v>
      </c>
    </row>
    <row r="29" spans="1:26" x14ac:dyDescent="0.2">
      <c r="A29">
        <v>28</v>
      </c>
      <c r="B29" t="s">
        <v>37</v>
      </c>
      <c r="C29" t="s">
        <v>40</v>
      </c>
      <c r="D29" t="s">
        <v>26</v>
      </c>
      <c r="E29">
        <v>2</v>
      </c>
      <c r="F29">
        <v>1982</v>
      </c>
      <c r="G29" t="s">
        <v>27</v>
      </c>
      <c r="H29" t="s">
        <v>30</v>
      </c>
      <c r="I29" t="s">
        <v>35</v>
      </c>
      <c r="J29" t="s">
        <v>28</v>
      </c>
      <c r="K29" t="s">
        <v>35</v>
      </c>
      <c r="L29" t="s">
        <v>35</v>
      </c>
      <c r="M29" t="s">
        <v>29</v>
      </c>
      <c r="N29" t="s">
        <v>28</v>
      </c>
      <c r="O29" t="s">
        <v>35</v>
      </c>
      <c r="P29" t="s">
        <v>28</v>
      </c>
      <c r="Q29" t="s">
        <v>30</v>
      </c>
      <c r="R29" t="s">
        <v>29</v>
      </c>
      <c r="S29" t="s">
        <v>28</v>
      </c>
      <c r="T29" t="s">
        <v>35</v>
      </c>
      <c r="U29" t="s">
        <v>35</v>
      </c>
      <c r="V29" t="s">
        <v>29</v>
      </c>
      <c r="W29">
        <v>48.5</v>
      </c>
      <c r="X29">
        <v>239</v>
      </c>
      <c r="Y29" s="1">
        <f t="shared" si="0"/>
        <v>1.6857417386022637</v>
      </c>
      <c r="Z29" s="1">
        <f t="shared" si="1"/>
        <v>2.3783979009481375</v>
      </c>
    </row>
    <row r="30" spans="1:26" x14ac:dyDescent="0.2">
      <c r="A30">
        <v>29</v>
      </c>
      <c r="B30" t="s">
        <v>37</v>
      </c>
      <c r="C30" t="s">
        <v>40</v>
      </c>
      <c r="D30" t="s">
        <v>26</v>
      </c>
      <c r="E30">
        <v>2</v>
      </c>
      <c r="F30">
        <v>1982</v>
      </c>
      <c r="G30" t="s">
        <v>27</v>
      </c>
      <c r="H30" t="s">
        <v>30</v>
      </c>
      <c r="I30" t="s">
        <v>35</v>
      </c>
      <c r="J30" t="s">
        <v>28</v>
      </c>
      <c r="K30" t="s">
        <v>35</v>
      </c>
      <c r="L30" t="s">
        <v>35</v>
      </c>
      <c r="M30" t="s">
        <v>29</v>
      </c>
      <c r="N30" t="s">
        <v>28</v>
      </c>
      <c r="O30" t="s">
        <v>35</v>
      </c>
      <c r="P30" t="s">
        <v>28</v>
      </c>
      <c r="Q30" t="s">
        <v>30</v>
      </c>
      <c r="R30" t="s">
        <v>29</v>
      </c>
      <c r="S30" t="s">
        <v>28</v>
      </c>
      <c r="T30" t="s">
        <v>35</v>
      </c>
      <c r="U30" t="s">
        <v>35</v>
      </c>
      <c r="V30" t="s">
        <v>29</v>
      </c>
      <c r="W30">
        <v>16.3</v>
      </c>
      <c r="X30">
        <v>82</v>
      </c>
      <c r="Y30" s="1">
        <f t="shared" si="0"/>
        <v>1.2121876044039579</v>
      </c>
      <c r="Z30" s="1">
        <f t="shared" si="1"/>
        <v>1.9138138523837167</v>
      </c>
    </row>
    <row r="31" spans="1:26" x14ac:dyDescent="0.2">
      <c r="A31">
        <v>30</v>
      </c>
      <c r="B31" t="s">
        <v>37</v>
      </c>
      <c r="C31" t="s">
        <v>41</v>
      </c>
      <c r="D31" t="s">
        <v>26</v>
      </c>
      <c r="E31">
        <v>2</v>
      </c>
      <c r="F31">
        <v>1982</v>
      </c>
      <c r="G31" t="s">
        <v>27</v>
      </c>
      <c r="H31" t="s">
        <v>30</v>
      </c>
      <c r="I31" t="s">
        <v>35</v>
      </c>
      <c r="J31" t="s">
        <v>28</v>
      </c>
      <c r="K31" t="s">
        <v>35</v>
      </c>
      <c r="L31" t="s">
        <v>35</v>
      </c>
      <c r="M31" t="s">
        <v>29</v>
      </c>
      <c r="N31" t="s">
        <v>28</v>
      </c>
      <c r="O31" t="s">
        <v>35</v>
      </c>
      <c r="P31" t="s">
        <v>28</v>
      </c>
      <c r="Q31" t="s">
        <v>30</v>
      </c>
      <c r="R31" t="s">
        <v>29</v>
      </c>
      <c r="S31" t="s">
        <v>28</v>
      </c>
      <c r="T31" t="s">
        <v>35</v>
      </c>
      <c r="U31" t="s">
        <v>35</v>
      </c>
      <c r="V31" t="s">
        <v>29</v>
      </c>
      <c r="W31">
        <v>12.8</v>
      </c>
      <c r="X31">
        <v>62</v>
      </c>
      <c r="Y31" s="1">
        <f t="shared" si="0"/>
        <v>1.1072099696478683</v>
      </c>
      <c r="Z31" s="1">
        <f t="shared" si="1"/>
        <v>1.7923916894982539</v>
      </c>
    </row>
    <row r="32" spans="1:26" x14ac:dyDescent="0.2">
      <c r="A32">
        <v>31</v>
      </c>
      <c r="B32" t="s">
        <v>37</v>
      </c>
      <c r="C32" t="s">
        <v>42</v>
      </c>
      <c r="D32" t="s">
        <v>26</v>
      </c>
      <c r="E32">
        <v>2</v>
      </c>
      <c r="F32">
        <v>1982</v>
      </c>
      <c r="G32" t="s">
        <v>27</v>
      </c>
      <c r="H32" t="s">
        <v>30</v>
      </c>
      <c r="I32" t="s">
        <v>35</v>
      </c>
      <c r="J32" t="s">
        <v>28</v>
      </c>
      <c r="K32" t="s">
        <v>35</v>
      </c>
      <c r="L32" t="s">
        <v>35</v>
      </c>
      <c r="M32" t="s">
        <v>29</v>
      </c>
      <c r="N32" t="s">
        <v>28</v>
      </c>
      <c r="O32" t="s">
        <v>35</v>
      </c>
      <c r="P32" t="s">
        <v>28</v>
      </c>
      <c r="Q32" t="s">
        <v>30</v>
      </c>
      <c r="R32" t="s">
        <v>29</v>
      </c>
      <c r="S32" t="s">
        <v>28</v>
      </c>
      <c r="T32" t="s">
        <v>35</v>
      </c>
      <c r="U32" t="s">
        <v>35</v>
      </c>
      <c r="V32" t="s">
        <v>29</v>
      </c>
      <c r="W32">
        <v>32.6</v>
      </c>
      <c r="X32">
        <v>170</v>
      </c>
      <c r="Y32" s="1">
        <f t="shared" si="0"/>
        <v>1.5132176000679389</v>
      </c>
      <c r="Z32" s="1">
        <f t="shared" si="1"/>
        <v>2.2304489213782741</v>
      </c>
    </row>
    <row r="33" spans="1:26" x14ac:dyDescent="0.2">
      <c r="A33">
        <v>32</v>
      </c>
      <c r="B33" t="s">
        <v>37</v>
      </c>
      <c r="C33" t="s">
        <v>43</v>
      </c>
      <c r="D33" t="s">
        <v>26</v>
      </c>
      <c r="E33">
        <v>2</v>
      </c>
      <c r="F33">
        <v>1982</v>
      </c>
      <c r="G33" t="s">
        <v>27</v>
      </c>
      <c r="H33" t="s">
        <v>30</v>
      </c>
      <c r="I33" t="s">
        <v>35</v>
      </c>
      <c r="J33" t="s">
        <v>28</v>
      </c>
      <c r="K33" t="s">
        <v>35</v>
      </c>
      <c r="L33" t="s">
        <v>35</v>
      </c>
      <c r="M33" t="s">
        <v>29</v>
      </c>
      <c r="N33" t="s">
        <v>28</v>
      </c>
      <c r="O33" t="s">
        <v>35</v>
      </c>
      <c r="P33" t="s">
        <v>28</v>
      </c>
      <c r="Q33" t="s">
        <v>30</v>
      </c>
      <c r="R33" t="s">
        <v>29</v>
      </c>
      <c r="S33" t="s">
        <v>28</v>
      </c>
      <c r="T33" t="s">
        <v>35</v>
      </c>
      <c r="U33" t="s">
        <v>35</v>
      </c>
      <c r="V33" t="s">
        <v>29</v>
      </c>
      <c r="W33">
        <v>35.5</v>
      </c>
      <c r="X33">
        <v>192</v>
      </c>
      <c r="Y33" s="1">
        <f t="shared" si="0"/>
        <v>1.550228353055094</v>
      </c>
      <c r="Z33" s="1">
        <f t="shared" si="1"/>
        <v>2.2833012287035497</v>
      </c>
    </row>
    <row r="34" spans="1:26" x14ac:dyDescent="0.2">
      <c r="A34">
        <v>33</v>
      </c>
      <c r="B34" t="s">
        <v>37</v>
      </c>
      <c r="C34" t="s">
        <v>33</v>
      </c>
      <c r="D34" t="s">
        <v>26</v>
      </c>
      <c r="E34">
        <v>2</v>
      </c>
      <c r="F34">
        <v>1985</v>
      </c>
      <c r="G34" t="s">
        <v>27</v>
      </c>
      <c r="H34" t="s">
        <v>28</v>
      </c>
      <c r="I34" t="s">
        <v>29</v>
      </c>
      <c r="J34" t="s">
        <v>28</v>
      </c>
      <c r="K34" t="s">
        <v>30</v>
      </c>
      <c r="L34" t="s">
        <v>30</v>
      </c>
      <c r="M34" t="s">
        <v>29</v>
      </c>
      <c r="N34" t="s">
        <v>29</v>
      </c>
      <c r="O34" t="s">
        <v>30</v>
      </c>
      <c r="P34" t="s">
        <v>30</v>
      </c>
      <c r="Q34" t="s">
        <v>30</v>
      </c>
      <c r="R34" t="s">
        <v>30</v>
      </c>
      <c r="S34" t="s">
        <v>28</v>
      </c>
      <c r="T34" t="s">
        <v>28</v>
      </c>
      <c r="U34" t="s">
        <v>30</v>
      </c>
      <c r="V34" t="s">
        <v>29</v>
      </c>
      <c r="W34">
        <v>5.5</v>
      </c>
      <c r="X34">
        <v>18</v>
      </c>
      <c r="Y34" s="1">
        <f t="shared" si="0"/>
        <v>0.74036268949424389</v>
      </c>
      <c r="Z34" s="1">
        <f t="shared" si="1"/>
        <v>1.255272505103306</v>
      </c>
    </row>
    <row r="35" spans="1:26" x14ac:dyDescent="0.2">
      <c r="A35">
        <v>34</v>
      </c>
      <c r="B35" t="s">
        <v>37</v>
      </c>
      <c r="C35" t="s">
        <v>25</v>
      </c>
      <c r="D35" t="s">
        <v>26</v>
      </c>
      <c r="E35">
        <v>2</v>
      </c>
      <c r="F35">
        <v>1987</v>
      </c>
      <c r="G35" t="s">
        <v>27</v>
      </c>
      <c r="H35" t="s">
        <v>28</v>
      </c>
      <c r="I35" t="s">
        <v>29</v>
      </c>
      <c r="J35" t="s">
        <v>28</v>
      </c>
      <c r="K35" t="s">
        <v>30</v>
      </c>
      <c r="L35" t="s">
        <v>30</v>
      </c>
      <c r="M35" t="s">
        <v>29</v>
      </c>
      <c r="N35" t="s">
        <v>29</v>
      </c>
      <c r="O35" t="s">
        <v>30</v>
      </c>
      <c r="P35" t="s">
        <v>30</v>
      </c>
      <c r="Q35" t="s">
        <v>30</v>
      </c>
      <c r="R35" t="s">
        <v>30</v>
      </c>
      <c r="S35" t="s">
        <v>28</v>
      </c>
      <c r="T35" t="s">
        <v>28</v>
      </c>
      <c r="U35" t="s">
        <v>30</v>
      </c>
      <c r="V35" t="s">
        <v>29</v>
      </c>
      <c r="W35">
        <v>10.4</v>
      </c>
      <c r="X35">
        <v>50</v>
      </c>
      <c r="Y35" s="1">
        <f t="shared" si="0"/>
        <v>1.0170333392987803</v>
      </c>
      <c r="Z35" s="1">
        <f t="shared" si="1"/>
        <v>1.6989700043360187</v>
      </c>
    </row>
    <row r="36" spans="1:26" x14ac:dyDescent="0.2">
      <c r="A36">
        <v>35</v>
      </c>
      <c r="B36" t="s">
        <v>37</v>
      </c>
      <c r="C36" t="s">
        <v>25</v>
      </c>
      <c r="D36" t="s">
        <v>26</v>
      </c>
      <c r="E36">
        <v>2</v>
      </c>
      <c r="F36">
        <v>1987</v>
      </c>
      <c r="G36" t="s">
        <v>27</v>
      </c>
      <c r="H36" t="s">
        <v>28</v>
      </c>
      <c r="I36" t="s">
        <v>29</v>
      </c>
      <c r="J36" t="s">
        <v>28</v>
      </c>
      <c r="K36" t="s">
        <v>30</v>
      </c>
      <c r="L36" t="s">
        <v>30</v>
      </c>
      <c r="M36" t="s">
        <v>29</v>
      </c>
      <c r="N36" t="s">
        <v>29</v>
      </c>
      <c r="O36" t="s">
        <v>30</v>
      </c>
      <c r="P36" t="s">
        <v>30</v>
      </c>
      <c r="Q36" t="s">
        <v>30</v>
      </c>
      <c r="R36" t="s">
        <v>30</v>
      </c>
      <c r="S36" t="s">
        <v>28</v>
      </c>
      <c r="T36" t="s">
        <v>28</v>
      </c>
      <c r="U36" t="s">
        <v>30</v>
      </c>
      <c r="V36" t="s">
        <v>29</v>
      </c>
      <c r="W36">
        <v>14</v>
      </c>
      <c r="X36">
        <v>60</v>
      </c>
      <c r="Y36" s="1">
        <f t="shared" si="0"/>
        <v>1.146128035678238</v>
      </c>
      <c r="Z36" s="1">
        <f t="shared" si="1"/>
        <v>1.7781512503836436</v>
      </c>
    </row>
    <row r="37" spans="1:26" x14ac:dyDescent="0.2">
      <c r="A37">
        <v>36</v>
      </c>
      <c r="B37" t="s">
        <v>37</v>
      </c>
      <c r="C37" t="s">
        <v>39</v>
      </c>
      <c r="D37" t="s">
        <v>26</v>
      </c>
      <c r="E37">
        <v>2</v>
      </c>
      <c r="F37">
        <v>1986</v>
      </c>
      <c r="G37" t="s">
        <v>27</v>
      </c>
      <c r="H37" t="s">
        <v>28</v>
      </c>
      <c r="I37" t="s">
        <v>30</v>
      </c>
      <c r="J37" t="s">
        <v>28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30</v>
      </c>
      <c r="R37" t="s">
        <v>30</v>
      </c>
      <c r="S37" t="s">
        <v>30</v>
      </c>
      <c r="T37" t="s">
        <v>30</v>
      </c>
      <c r="U37" t="s">
        <v>30</v>
      </c>
      <c r="V37" t="s">
        <v>30</v>
      </c>
      <c r="W37">
        <v>6.5</v>
      </c>
      <c r="X37">
        <v>42</v>
      </c>
      <c r="Y37" s="1">
        <f t="shared" si="0"/>
        <v>0.81291335664285558</v>
      </c>
      <c r="Z37" s="1">
        <f t="shared" si="1"/>
        <v>1.6232492903979006</v>
      </c>
    </row>
    <row r="38" spans="1:26" x14ac:dyDescent="0.2">
      <c r="A38">
        <v>37</v>
      </c>
      <c r="B38" t="s">
        <v>37</v>
      </c>
      <c r="C38" t="s">
        <v>39</v>
      </c>
      <c r="D38" t="s">
        <v>26</v>
      </c>
      <c r="E38">
        <v>2</v>
      </c>
      <c r="F38">
        <v>1986</v>
      </c>
      <c r="G38" t="s">
        <v>27</v>
      </c>
      <c r="H38" t="s">
        <v>30</v>
      </c>
      <c r="I38" t="s">
        <v>30</v>
      </c>
      <c r="J38" t="s">
        <v>28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30</v>
      </c>
      <c r="R38" t="s">
        <v>30</v>
      </c>
      <c r="S38" t="s">
        <v>30</v>
      </c>
      <c r="T38" t="s">
        <v>30</v>
      </c>
      <c r="U38" t="s">
        <v>30</v>
      </c>
      <c r="V38" t="s">
        <v>30</v>
      </c>
      <c r="W38">
        <v>13</v>
      </c>
      <c r="X38">
        <v>60</v>
      </c>
      <c r="Y38" s="1">
        <f t="shared" si="0"/>
        <v>1.1139433523068367</v>
      </c>
      <c r="Z38" s="1">
        <f t="shared" si="1"/>
        <v>1.7781512503836436</v>
      </c>
    </row>
    <row r="39" spans="1:26" x14ac:dyDescent="0.2">
      <c r="A39">
        <v>38</v>
      </c>
      <c r="B39" t="s">
        <v>37</v>
      </c>
      <c r="C39" t="s">
        <v>39</v>
      </c>
      <c r="D39" t="s">
        <v>26</v>
      </c>
      <c r="E39">
        <v>2</v>
      </c>
      <c r="F39">
        <v>1986</v>
      </c>
      <c r="G39" t="s">
        <v>27</v>
      </c>
      <c r="H39" t="s">
        <v>30</v>
      </c>
      <c r="I39" t="s">
        <v>30</v>
      </c>
      <c r="J39" t="s">
        <v>28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28</v>
      </c>
      <c r="R39" t="s">
        <v>30</v>
      </c>
      <c r="S39" t="s">
        <v>28</v>
      </c>
      <c r="T39" t="s">
        <v>28</v>
      </c>
      <c r="U39" t="s">
        <v>28</v>
      </c>
      <c r="V39" t="s">
        <v>30</v>
      </c>
      <c r="W39">
        <v>90</v>
      </c>
      <c r="X39">
        <v>444</v>
      </c>
      <c r="Y39" s="1">
        <f t="shared" si="0"/>
        <v>1.954242509439325</v>
      </c>
      <c r="Z39" s="1">
        <f t="shared" si="1"/>
        <v>2.6473829701146196</v>
      </c>
    </row>
    <row r="40" spans="1:26" x14ac:dyDescent="0.2">
      <c r="A40">
        <v>39</v>
      </c>
      <c r="B40" t="s">
        <v>37</v>
      </c>
      <c r="C40" t="s">
        <v>39</v>
      </c>
      <c r="D40" t="s">
        <v>26</v>
      </c>
      <c r="E40">
        <v>2</v>
      </c>
      <c r="F40">
        <v>1986</v>
      </c>
      <c r="G40" t="s">
        <v>27</v>
      </c>
      <c r="H40" t="s">
        <v>30</v>
      </c>
      <c r="I40" t="s">
        <v>30</v>
      </c>
      <c r="J40" t="s">
        <v>28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30</v>
      </c>
      <c r="R40" t="s">
        <v>30</v>
      </c>
      <c r="S40" t="s">
        <v>30</v>
      </c>
      <c r="T40" t="s">
        <v>30</v>
      </c>
      <c r="U40" t="s">
        <v>30</v>
      </c>
      <c r="V40" t="s">
        <v>30</v>
      </c>
      <c r="W40">
        <v>8</v>
      </c>
      <c r="X40">
        <v>42</v>
      </c>
      <c r="Y40" s="1">
        <f t="shared" si="0"/>
        <v>0.90308998699194354</v>
      </c>
      <c r="Z40" s="1">
        <f t="shared" si="1"/>
        <v>1.6232492903979006</v>
      </c>
    </row>
    <row r="41" spans="1:26" x14ac:dyDescent="0.2">
      <c r="A41">
        <v>40</v>
      </c>
      <c r="B41" t="s">
        <v>37</v>
      </c>
      <c r="C41" t="s">
        <v>39</v>
      </c>
      <c r="D41" t="s">
        <v>26</v>
      </c>
      <c r="E41">
        <v>2</v>
      </c>
      <c r="F41">
        <v>1986</v>
      </c>
      <c r="G41" t="s">
        <v>27</v>
      </c>
      <c r="H41" t="s">
        <v>30</v>
      </c>
      <c r="I41" t="s">
        <v>30</v>
      </c>
      <c r="J41" t="s">
        <v>28</v>
      </c>
      <c r="K41" t="s">
        <v>28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30</v>
      </c>
      <c r="R41" t="s">
        <v>30</v>
      </c>
      <c r="S41" t="s">
        <v>30</v>
      </c>
      <c r="T41" t="s">
        <v>30</v>
      </c>
      <c r="U41" t="s">
        <v>30</v>
      </c>
      <c r="V41" t="s">
        <v>30</v>
      </c>
      <c r="W41">
        <v>16</v>
      </c>
      <c r="X41">
        <v>114</v>
      </c>
      <c r="Y41" s="1">
        <f t="shared" si="0"/>
        <v>1.2041199826559248</v>
      </c>
      <c r="Z41" s="1">
        <f t="shared" si="1"/>
        <v>2.0569048513364727</v>
      </c>
    </row>
    <row r="42" spans="1:26" x14ac:dyDescent="0.2">
      <c r="A42">
        <v>41</v>
      </c>
      <c r="B42" t="s">
        <v>44</v>
      </c>
      <c r="C42" t="s">
        <v>43</v>
      </c>
      <c r="D42" t="s">
        <v>26</v>
      </c>
      <c r="E42">
        <v>2</v>
      </c>
      <c r="F42">
        <v>1980</v>
      </c>
      <c r="G42" t="s">
        <v>27</v>
      </c>
      <c r="H42" t="s">
        <v>30</v>
      </c>
      <c r="I42" t="s">
        <v>28</v>
      </c>
      <c r="J42" t="s">
        <v>28</v>
      </c>
      <c r="K42" t="s">
        <v>35</v>
      </c>
      <c r="L42" t="s">
        <v>28</v>
      </c>
      <c r="M42" t="s">
        <v>29</v>
      </c>
      <c r="N42" t="s">
        <v>28</v>
      </c>
      <c r="O42" t="s">
        <v>28</v>
      </c>
      <c r="P42" t="s">
        <v>30</v>
      </c>
      <c r="Q42" t="s">
        <v>28</v>
      </c>
      <c r="R42" t="s">
        <v>29</v>
      </c>
      <c r="S42" t="s">
        <v>28</v>
      </c>
      <c r="T42" t="s">
        <v>28</v>
      </c>
      <c r="U42" t="s">
        <v>30</v>
      </c>
      <c r="V42" t="s">
        <v>29</v>
      </c>
      <c r="W42">
        <v>177.9</v>
      </c>
      <c r="X42">
        <v>1248</v>
      </c>
      <c r="Y42" s="1">
        <f t="shared" si="0"/>
        <v>2.2501759480839252</v>
      </c>
      <c r="Z42" s="1">
        <f t="shared" si="1"/>
        <v>3.0962145853464054</v>
      </c>
    </row>
    <row r="43" spans="1:26" x14ac:dyDescent="0.2">
      <c r="A43">
        <v>42</v>
      </c>
      <c r="B43" t="s">
        <v>45</v>
      </c>
      <c r="C43" t="s">
        <v>46</v>
      </c>
      <c r="D43" t="s">
        <v>26</v>
      </c>
      <c r="E43">
        <v>6</v>
      </c>
      <c r="F43">
        <v>1975</v>
      </c>
      <c r="G43" t="s">
        <v>27</v>
      </c>
      <c r="H43" t="s">
        <v>28</v>
      </c>
      <c r="I43" t="s">
        <v>29</v>
      </c>
      <c r="J43" t="s">
        <v>28</v>
      </c>
      <c r="K43" t="s">
        <v>30</v>
      </c>
      <c r="L43" t="s">
        <v>30</v>
      </c>
      <c r="M43" t="s">
        <v>29</v>
      </c>
      <c r="N43" t="s">
        <v>29</v>
      </c>
      <c r="O43" t="s">
        <v>30</v>
      </c>
      <c r="P43" t="s">
        <v>30</v>
      </c>
      <c r="Q43" t="s">
        <v>28</v>
      </c>
      <c r="R43" t="s">
        <v>30</v>
      </c>
      <c r="S43" t="s">
        <v>30</v>
      </c>
      <c r="T43" t="s">
        <v>28</v>
      </c>
      <c r="U43" t="s">
        <v>36</v>
      </c>
      <c r="V43" t="s">
        <v>30</v>
      </c>
      <c r="W43">
        <v>302</v>
      </c>
      <c r="X43">
        <v>2400</v>
      </c>
      <c r="Y43" s="1">
        <f t="shared" si="0"/>
        <v>2.4800069429571505</v>
      </c>
      <c r="Z43" s="1">
        <f t="shared" si="1"/>
        <v>3.3802112417116059</v>
      </c>
    </row>
    <row r="44" spans="1:26" x14ac:dyDescent="0.2">
      <c r="A44">
        <v>43</v>
      </c>
      <c r="B44" t="s">
        <v>47</v>
      </c>
      <c r="C44" t="s">
        <v>48</v>
      </c>
      <c r="D44" t="s">
        <v>26</v>
      </c>
      <c r="E44">
        <v>5</v>
      </c>
      <c r="F44">
        <v>1982</v>
      </c>
      <c r="G44" t="s">
        <v>27</v>
      </c>
      <c r="H44" t="s">
        <v>30</v>
      </c>
      <c r="I44" t="s">
        <v>28</v>
      </c>
      <c r="J44" t="s">
        <v>29</v>
      </c>
      <c r="K44" t="s">
        <v>30</v>
      </c>
      <c r="L44" t="s">
        <v>30</v>
      </c>
      <c r="M44" t="s">
        <v>28</v>
      </c>
      <c r="N44" t="s">
        <v>30</v>
      </c>
      <c r="O44" t="s">
        <v>28</v>
      </c>
      <c r="P44" t="s">
        <v>28</v>
      </c>
      <c r="Q44" t="s">
        <v>30</v>
      </c>
      <c r="R44" t="s">
        <v>30</v>
      </c>
      <c r="S44" t="s">
        <v>30</v>
      </c>
      <c r="T44" t="s">
        <v>28</v>
      </c>
      <c r="U44" t="s">
        <v>28</v>
      </c>
      <c r="V44" t="s">
        <v>30</v>
      </c>
      <c r="W44">
        <v>282.10000000000002</v>
      </c>
      <c r="X44">
        <v>1368</v>
      </c>
      <c r="Y44" s="1">
        <f t="shared" si="0"/>
        <v>2.4504030861553665</v>
      </c>
      <c r="Z44" s="1">
        <f t="shared" si="1"/>
        <v>3.1360860973840974</v>
      </c>
    </row>
    <row r="45" spans="1:26" x14ac:dyDescent="0.2">
      <c r="A45">
        <v>44</v>
      </c>
      <c r="B45" t="s">
        <v>47</v>
      </c>
      <c r="C45" t="s">
        <v>48</v>
      </c>
      <c r="D45" t="s">
        <v>26</v>
      </c>
      <c r="E45">
        <v>5</v>
      </c>
      <c r="F45">
        <v>1982</v>
      </c>
      <c r="G45" t="s">
        <v>27</v>
      </c>
      <c r="H45" t="s">
        <v>28</v>
      </c>
      <c r="I45" t="s">
        <v>28</v>
      </c>
      <c r="J45" t="s">
        <v>29</v>
      </c>
      <c r="K45" t="s">
        <v>30</v>
      </c>
      <c r="L45" t="s">
        <v>30</v>
      </c>
      <c r="M45" t="s">
        <v>30</v>
      </c>
      <c r="N45" t="s">
        <v>28</v>
      </c>
      <c r="O45" t="s">
        <v>28</v>
      </c>
      <c r="P45" t="s">
        <v>28</v>
      </c>
      <c r="Q45" t="s">
        <v>30</v>
      </c>
      <c r="R45" t="s">
        <v>30</v>
      </c>
      <c r="S45" t="s">
        <v>30</v>
      </c>
      <c r="T45" t="s">
        <v>28</v>
      </c>
      <c r="U45" t="s">
        <v>30</v>
      </c>
      <c r="V45" t="s">
        <v>30</v>
      </c>
      <c r="W45">
        <v>284.7</v>
      </c>
      <c r="X45">
        <v>973</v>
      </c>
      <c r="Y45" s="1">
        <f t="shared" si="0"/>
        <v>2.454387467146955</v>
      </c>
      <c r="Z45" s="1">
        <f t="shared" si="1"/>
        <v>2.9881128402683519</v>
      </c>
    </row>
    <row r="46" spans="1:26" x14ac:dyDescent="0.2">
      <c r="A46">
        <v>45</v>
      </c>
      <c r="B46" t="s">
        <v>47</v>
      </c>
      <c r="C46" t="s">
        <v>25</v>
      </c>
      <c r="D46" t="s">
        <v>26</v>
      </c>
      <c r="E46">
        <v>5</v>
      </c>
      <c r="F46">
        <v>1982</v>
      </c>
      <c r="G46" t="s">
        <v>27</v>
      </c>
      <c r="H46" t="s">
        <v>28</v>
      </c>
      <c r="I46" t="s">
        <v>28</v>
      </c>
      <c r="J46" t="s">
        <v>30</v>
      </c>
      <c r="K46" t="s">
        <v>30</v>
      </c>
      <c r="L46" t="s">
        <v>30</v>
      </c>
      <c r="M46" t="s">
        <v>29</v>
      </c>
      <c r="N46" t="s">
        <v>29</v>
      </c>
      <c r="O46" t="s">
        <v>30</v>
      </c>
      <c r="P46" t="s">
        <v>28</v>
      </c>
      <c r="Q46" t="s">
        <v>28</v>
      </c>
      <c r="R46" t="s">
        <v>30</v>
      </c>
      <c r="S46" t="s">
        <v>28</v>
      </c>
      <c r="T46" t="s">
        <v>30</v>
      </c>
      <c r="U46" t="s">
        <v>30</v>
      </c>
      <c r="V46" t="s">
        <v>30</v>
      </c>
      <c r="W46">
        <v>79</v>
      </c>
      <c r="X46">
        <v>400</v>
      </c>
      <c r="Y46" s="1">
        <f t="shared" si="0"/>
        <v>1.8976270912904414</v>
      </c>
      <c r="Z46" s="1">
        <f t="shared" si="1"/>
        <v>2.6020599913279625</v>
      </c>
    </row>
    <row r="47" spans="1:26" x14ac:dyDescent="0.2">
      <c r="A47">
        <v>46</v>
      </c>
      <c r="B47" t="s">
        <v>47</v>
      </c>
      <c r="C47" t="s">
        <v>25</v>
      </c>
      <c r="D47" t="s">
        <v>26</v>
      </c>
      <c r="E47">
        <v>5</v>
      </c>
      <c r="F47">
        <v>1977</v>
      </c>
      <c r="G47" t="s">
        <v>27</v>
      </c>
      <c r="H47" t="s">
        <v>29</v>
      </c>
      <c r="I47" t="s">
        <v>30</v>
      </c>
      <c r="J47" t="s">
        <v>30</v>
      </c>
      <c r="K47" t="s">
        <v>30</v>
      </c>
      <c r="L47" t="s">
        <v>30</v>
      </c>
      <c r="M47" t="s">
        <v>29</v>
      </c>
      <c r="N47" t="s">
        <v>29</v>
      </c>
      <c r="O47" t="s">
        <v>28</v>
      </c>
      <c r="P47" t="s">
        <v>28</v>
      </c>
      <c r="Q47" t="s">
        <v>35</v>
      </c>
      <c r="R47" t="s">
        <v>30</v>
      </c>
      <c r="S47" t="s">
        <v>28</v>
      </c>
      <c r="T47" t="s">
        <v>29</v>
      </c>
      <c r="U47" t="s">
        <v>29</v>
      </c>
      <c r="V47" t="s">
        <v>28</v>
      </c>
      <c r="W47">
        <v>423</v>
      </c>
      <c r="X47">
        <v>2400</v>
      </c>
      <c r="Y47" s="1">
        <f t="shared" si="0"/>
        <v>2.6263403673750423</v>
      </c>
      <c r="Z47" s="1">
        <f t="shared" si="1"/>
        <v>3.3802112417116059</v>
      </c>
    </row>
    <row r="48" spans="1:26" x14ac:dyDescent="0.2">
      <c r="A48">
        <v>47</v>
      </c>
      <c r="B48" t="s">
        <v>47</v>
      </c>
      <c r="C48" t="s">
        <v>33</v>
      </c>
      <c r="D48" t="s">
        <v>26</v>
      </c>
      <c r="E48">
        <v>5</v>
      </c>
      <c r="F48">
        <v>1977</v>
      </c>
      <c r="G48" t="s">
        <v>27</v>
      </c>
      <c r="H48" t="s">
        <v>30</v>
      </c>
      <c r="I48" t="s">
        <v>30</v>
      </c>
      <c r="J48" t="s">
        <v>30</v>
      </c>
      <c r="K48" t="s">
        <v>30</v>
      </c>
      <c r="L48" t="s">
        <v>30</v>
      </c>
      <c r="M48" t="s">
        <v>29</v>
      </c>
      <c r="N48" t="s">
        <v>30</v>
      </c>
      <c r="O48" t="s">
        <v>28</v>
      </c>
      <c r="P48" t="s">
        <v>35</v>
      </c>
      <c r="Q48" t="s">
        <v>35</v>
      </c>
      <c r="R48" t="s">
        <v>29</v>
      </c>
      <c r="S48" t="s">
        <v>28</v>
      </c>
      <c r="T48" t="s">
        <v>28</v>
      </c>
      <c r="U48" t="s">
        <v>30</v>
      </c>
      <c r="V48" t="s">
        <v>30</v>
      </c>
      <c r="W48">
        <v>190</v>
      </c>
      <c r="X48">
        <v>420</v>
      </c>
      <c r="Y48" s="1">
        <f t="shared" si="0"/>
        <v>2.2787536009528289</v>
      </c>
      <c r="Z48" s="1">
        <f t="shared" si="1"/>
        <v>2.6232492903979003</v>
      </c>
    </row>
    <row r="49" spans="1:26" x14ac:dyDescent="0.2">
      <c r="A49">
        <v>48</v>
      </c>
      <c r="B49" t="s">
        <v>47</v>
      </c>
      <c r="C49" t="s">
        <v>33</v>
      </c>
      <c r="D49" t="s">
        <v>26</v>
      </c>
      <c r="E49">
        <v>5</v>
      </c>
      <c r="F49">
        <v>1984</v>
      </c>
      <c r="G49" t="s">
        <v>27</v>
      </c>
      <c r="H49" t="s">
        <v>30</v>
      </c>
      <c r="I49" t="s">
        <v>30</v>
      </c>
      <c r="J49" t="s">
        <v>28</v>
      </c>
      <c r="K49" t="s">
        <v>30</v>
      </c>
      <c r="L49" t="s">
        <v>28</v>
      </c>
      <c r="M49" t="s">
        <v>30</v>
      </c>
      <c r="N49" t="s">
        <v>30</v>
      </c>
      <c r="O49" t="s">
        <v>28</v>
      </c>
      <c r="P49" t="s">
        <v>28</v>
      </c>
      <c r="Q49" t="s">
        <v>30</v>
      </c>
      <c r="R49" t="s">
        <v>30</v>
      </c>
      <c r="S49" t="s">
        <v>28</v>
      </c>
      <c r="T49" t="s">
        <v>28</v>
      </c>
      <c r="U49" t="s">
        <v>30</v>
      </c>
      <c r="V49" t="s">
        <v>28</v>
      </c>
      <c r="W49">
        <v>47.5</v>
      </c>
      <c r="X49">
        <v>252</v>
      </c>
      <c r="Y49" s="1">
        <f t="shared" si="0"/>
        <v>1.6766936096248666</v>
      </c>
      <c r="Z49" s="1">
        <f t="shared" si="1"/>
        <v>2.4014005407815442</v>
      </c>
    </row>
    <row r="50" spans="1:26" x14ac:dyDescent="0.2">
      <c r="A50">
        <v>49</v>
      </c>
      <c r="B50" t="s">
        <v>47</v>
      </c>
      <c r="C50" t="s">
        <v>33</v>
      </c>
      <c r="D50" t="s">
        <v>26</v>
      </c>
      <c r="E50">
        <v>5</v>
      </c>
      <c r="F50">
        <v>1980</v>
      </c>
      <c r="G50" t="s">
        <v>27</v>
      </c>
      <c r="H50" t="s">
        <v>35</v>
      </c>
      <c r="I50" t="s">
        <v>30</v>
      </c>
      <c r="J50" t="s">
        <v>34</v>
      </c>
      <c r="K50" t="s">
        <v>28</v>
      </c>
      <c r="L50" t="s">
        <v>28</v>
      </c>
      <c r="M50" t="s">
        <v>29</v>
      </c>
      <c r="N50" t="s">
        <v>29</v>
      </c>
      <c r="O50" t="s">
        <v>30</v>
      </c>
      <c r="P50" t="s">
        <v>28</v>
      </c>
      <c r="Q50" t="s">
        <v>30</v>
      </c>
      <c r="R50" t="s">
        <v>30</v>
      </c>
      <c r="S50" t="s">
        <v>30</v>
      </c>
      <c r="T50" t="s">
        <v>29</v>
      </c>
      <c r="U50" t="s">
        <v>28</v>
      </c>
      <c r="V50" t="s">
        <v>30</v>
      </c>
      <c r="W50">
        <v>21</v>
      </c>
      <c r="X50">
        <v>107</v>
      </c>
      <c r="Y50" s="1">
        <f t="shared" si="0"/>
        <v>1.3222192947339193</v>
      </c>
      <c r="Z50" s="1">
        <f t="shared" si="1"/>
        <v>2.0293837776852097</v>
      </c>
    </row>
    <row r="51" spans="1:26" x14ac:dyDescent="0.2">
      <c r="A51">
        <v>50</v>
      </c>
      <c r="B51" t="s">
        <v>47</v>
      </c>
      <c r="C51" t="s">
        <v>38</v>
      </c>
      <c r="D51" t="s">
        <v>26</v>
      </c>
      <c r="E51">
        <v>5</v>
      </c>
      <c r="F51">
        <v>1983</v>
      </c>
      <c r="G51" t="s">
        <v>27</v>
      </c>
      <c r="H51" t="s">
        <v>30</v>
      </c>
      <c r="I51" t="s">
        <v>28</v>
      </c>
      <c r="J51" t="s">
        <v>28</v>
      </c>
      <c r="K51" t="s">
        <v>35</v>
      </c>
      <c r="L51" t="s">
        <v>30</v>
      </c>
      <c r="M51" t="s">
        <v>30</v>
      </c>
      <c r="N51" t="s">
        <v>28</v>
      </c>
      <c r="O51" t="s">
        <v>28</v>
      </c>
      <c r="P51" t="s">
        <v>28</v>
      </c>
      <c r="Q51" t="s">
        <v>28</v>
      </c>
      <c r="R51" t="s">
        <v>30</v>
      </c>
      <c r="S51" t="s">
        <v>28</v>
      </c>
      <c r="T51" t="s">
        <v>29</v>
      </c>
      <c r="U51" t="s">
        <v>29</v>
      </c>
      <c r="V51" t="s">
        <v>28</v>
      </c>
      <c r="W51">
        <v>78</v>
      </c>
      <c r="X51">
        <v>571.4</v>
      </c>
      <c r="Y51" s="1">
        <f t="shared" si="0"/>
        <v>1.8920946026904804</v>
      </c>
      <c r="Z51" s="1">
        <f t="shared" si="1"/>
        <v>2.7569402360467241</v>
      </c>
    </row>
    <row r="52" spans="1:26" x14ac:dyDescent="0.2">
      <c r="A52">
        <v>51</v>
      </c>
      <c r="B52" t="s">
        <v>47</v>
      </c>
      <c r="C52" t="s">
        <v>38</v>
      </c>
      <c r="D52" t="s">
        <v>26</v>
      </c>
      <c r="E52">
        <v>5</v>
      </c>
      <c r="F52">
        <v>1984</v>
      </c>
      <c r="G52" t="s">
        <v>27</v>
      </c>
      <c r="H52" t="s">
        <v>30</v>
      </c>
      <c r="I52" t="s">
        <v>28</v>
      </c>
      <c r="J52" t="s">
        <v>28</v>
      </c>
      <c r="K52" t="s">
        <v>35</v>
      </c>
      <c r="L52" t="s">
        <v>30</v>
      </c>
      <c r="M52" t="s">
        <v>30</v>
      </c>
      <c r="N52" t="s">
        <v>28</v>
      </c>
      <c r="O52" t="s">
        <v>28</v>
      </c>
      <c r="P52" t="s">
        <v>28</v>
      </c>
      <c r="Q52" t="s">
        <v>28</v>
      </c>
      <c r="R52" t="s">
        <v>30</v>
      </c>
      <c r="S52" t="s">
        <v>28</v>
      </c>
      <c r="T52" t="s">
        <v>29</v>
      </c>
      <c r="U52" t="s">
        <v>29</v>
      </c>
      <c r="V52" t="s">
        <v>28</v>
      </c>
      <c r="W52">
        <v>11.4</v>
      </c>
      <c r="X52">
        <v>98.8</v>
      </c>
      <c r="Y52" s="1">
        <f t="shared" si="0"/>
        <v>1.0569048513364727</v>
      </c>
      <c r="Z52" s="1">
        <f t="shared" si="1"/>
        <v>1.9947569445876281</v>
      </c>
    </row>
    <row r="53" spans="1:26" x14ac:dyDescent="0.2">
      <c r="A53">
        <v>52</v>
      </c>
      <c r="B53" t="s">
        <v>47</v>
      </c>
      <c r="C53" t="s">
        <v>38</v>
      </c>
      <c r="D53" t="s">
        <v>26</v>
      </c>
      <c r="E53">
        <v>5</v>
      </c>
      <c r="F53">
        <v>1985</v>
      </c>
      <c r="G53" t="s">
        <v>27</v>
      </c>
      <c r="H53" t="s">
        <v>30</v>
      </c>
      <c r="I53" t="s">
        <v>28</v>
      </c>
      <c r="J53" t="s">
        <v>28</v>
      </c>
      <c r="K53" t="s">
        <v>35</v>
      </c>
      <c r="L53" t="s">
        <v>30</v>
      </c>
      <c r="M53" t="s">
        <v>30</v>
      </c>
      <c r="N53" t="s">
        <v>28</v>
      </c>
      <c r="O53" t="s">
        <v>28</v>
      </c>
      <c r="P53" t="s">
        <v>28</v>
      </c>
      <c r="Q53" t="s">
        <v>28</v>
      </c>
      <c r="R53" t="s">
        <v>30</v>
      </c>
      <c r="S53" t="s">
        <v>28</v>
      </c>
      <c r="T53" t="s">
        <v>29</v>
      </c>
      <c r="U53" t="s">
        <v>29</v>
      </c>
      <c r="V53" t="s">
        <v>28</v>
      </c>
      <c r="W53">
        <v>19.3</v>
      </c>
      <c r="X53">
        <v>155</v>
      </c>
      <c r="Y53" s="1">
        <f t="shared" si="0"/>
        <v>1.2855573090077739</v>
      </c>
      <c r="Z53" s="1">
        <f t="shared" si="1"/>
        <v>2.1903316981702914</v>
      </c>
    </row>
    <row r="54" spans="1:26" x14ac:dyDescent="0.2">
      <c r="A54">
        <v>53</v>
      </c>
      <c r="B54" t="s">
        <v>47</v>
      </c>
      <c r="C54" t="s">
        <v>33</v>
      </c>
      <c r="D54" t="s">
        <v>26</v>
      </c>
      <c r="E54">
        <v>5</v>
      </c>
      <c r="F54">
        <v>1979</v>
      </c>
      <c r="G54" t="s">
        <v>27</v>
      </c>
      <c r="H54" t="s">
        <v>28</v>
      </c>
      <c r="I54" t="s">
        <v>30</v>
      </c>
      <c r="J54" t="s">
        <v>35</v>
      </c>
      <c r="K54" t="s">
        <v>28</v>
      </c>
      <c r="L54" t="s">
        <v>28</v>
      </c>
      <c r="M54" t="s">
        <v>29</v>
      </c>
      <c r="N54" t="s">
        <v>28</v>
      </c>
      <c r="O54" t="s">
        <v>28</v>
      </c>
      <c r="P54" t="s">
        <v>30</v>
      </c>
      <c r="Q54" t="s">
        <v>30</v>
      </c>
      <c r="R54" t="s">
        <v>28</v>
      </c>
      <c r="S54" t="s">
        <v>28</v>
      </c>
      <c r="T54" t="s">
        <v>29</v>
      </c>
      <c r="U54" t="s">
        <v>35</v>
      </c>
      <c r="V54" t="s">
        <v>28</v>
      </c>
      <c r="W54">
        <v>101</v>
      </c>
      <c r="X54">
        <v>750</v>
      </c>
      <c r="Y54" s="1">
        <f t="shared" si="0"/>
        <v>2.0043213737826426</v>
      </c>
      <c r="Z54" s="1">
        <f t="shared" si="1"/>
        <v>2.8750612633917001</v>
      </c>
    </row>
    <row r="55" spans="1:26" x14ac:dyDescent="0.2">
      <c r="A55">
        <v>54</v>
      </c>
      <c r="B55" t="s">
        <v>47</v>
      </c>
      <c r="C55" t="s">
        <v>33</v>
      </c>
      <c r="D55" t="s">
        <v>26</v>
      </c>
      <c r="E55">
        <v>5</v>
      </c>
      <c r="F55">
        <v>1979</v>
      </c>
      <c r="G55" t="s">
        <v>27</v>
      </c>
      <c r="H55" t="s">
        <v>28</v>
      </c>
      <c r="I55" t="s">
        <v>30</v>
      </c>
      <c r="J55" t="s">
        <v>28</v>
      </c>
      <c r="K55" t="s">
        <v>28</v>
      </c>
      <c r="L55" t="s">
        <v>28</v>
      </c>
      <c r="M55" t="s">
        <v>29</v>
      </c>
      <c r="N55" t="s">
        <v>28</v>
      </c>
      <c r="O55" t="s">
        <v>30</v>
      </c>
      <c r="P55" t="s">
        <v>28</v>
      </c>
      <c r="Q55" t="s">
        <v>30</v>
      </c>
      <c r="R55" t="s">
        <v>30</v>
      </c>
      <c r="S55" t="s">
        <v>30</v>
      </c>
      <c r="T55" t="s">
        <v>29</v>
      </c>
      <c r="U55" t="s">
        <v>35</v>
      </c>
      <c r="V55" t="s">
        <v>30</v>
      </c>
      <c r="W55">
        <v>219</v>
      </c>
      <c r="X55">
        <v>2120</v>
      </c>
      <c r="Y55" s="1">
        <f t="shared" si="0"/>
        <v>2.3404441148401185</v>
      </c>
      <c r="Z55" s="1">
        <f t="shared" si="1"/>
        <v>3.3263358609287512</v>
      </c>
    </row>
    <row r="56" spans="1:26" x14ac:dyDescent="0.2">
      <c r="A56">
        <v>55</v>
      </c>
      <c r="B56" t="s">
        <v>47</v>
      </c>
      <c r="C56" t="s">
        <v>49</v>
      </c>
      <c r="D56" t="s">
        <v>26</v>
      </c>
      <c r="E56">
        <v>5</v>
      </c>
      <c r="F56">
        <v>1979</v>
      </c>
      <c r="G56" t="s">
        <v>27</v>
      </c>
      <c r="H56" t="s">
        <v>28</v>
      </c>
      <c r="I56" t="s">
        <v>30</v>
      </c>
      <c r="J56" t="s">
        <v>28</v>
      </c>
      <c r="K56" t="s">
        <v>28</v>
      </c>
      <c r="L56" t="s">
        <v>28</v>
      </c>
      <c r="M56" t="s">
        <v>29</v>
      </c>
      <c r="N56" t="s">
        <v>28</v>
      </c>
      <c r="O56" t="s">
        <v>30</v>
      </c>
      <c r="P56" t="s">
        <v>28</v>
      </c>
      <c r="Q56" t="s">
        <v>30</v>
      </c>
      <c r="R56" t="s">
        <v>30</v>
      </c>
      <c r="S56" t="s">
        <v>30</v>
      </c>
      <c r="T56" t="s">
        <v>29</v>
      </c>
      <c r="U56" t="s">
        <v>35</v>
      </c>
      <c r="V56" t="s">
        <v>30</v>
      </c>
      <c r="W56">
        <v>50</v>
      </c>
      <c r="X56">
        <v>370</v>
      </c>
      <c r="Y56" s="1">
        <f t="shared" si="0"/>
        <v>1.6989700043360187</v>
      </c>
      <c r="Z56" s="1">
        <f t="shared" si="1"/>
        <v>2.568201724066995</v>
      </c>
    </row>
    <row r="57" spans="1:26" x14ac:dyDescent="0.2">
      <c r="A57">
        <v>56</v>
      </c>
      <c r="B57" t="s">
        <v>50</v>
      </c>
      <c r="C57" t="s">
        <v>43</v>
      </c>
      <c r="D57" t="s">
        <v>26</v>
      </c>
      <c r="E57">
        <v>2</v>
      </c>
      <c r="F57">
        <v>1979</v>
      </c>
      <c r="G57" t="s">
        <v>27</v>
      </c>
      <c r="H57" t="s">
        <v>35</v>
      </c>
      <c r="I57" t="s">
        <v>28</v>
      </c>
      <c r="J57" t="s">
        <v>28</v>
      </c>
      <c r="K57" t="s">
        <v>35</v>
      </c>
      <c r="L57" t="s">
        <v>35</v>
      </c>
      <c r="M57" t="s">
        <v>30</v>
      </c>
      <c r="N57" t="s">
        <v>30</v>
      </c>
      <c r="O57" t="s">
        <v>35</v>
      </c>
      <c r="P57" t="s">
        <v>35</v>
      </c>
      <c r="Q57" t="s">
        <v>35</v>
      </c>
      <c r="R57" t="s">
        <v>30</v>
      </c>
      <c r="S57" t="s">
        <v>28</v>
      </c>
      <c r="T57" t="s">
        <v>28</v>
      </c>
      <c r="U57" t="s">
        <v>28</v>
      </c>
      <c r="V57" t="s">
        <v>29</v>
      </c>
      <c r="W57">
        <v>227</v>
      </c>
      <c r="X57">
        <v>1181</v>
      </c>
      <c r="Y57" s="1">
        <f t="shared" si="0"/>
        <v>2.3560258571931225</v>
      </c>
      <c r="Z57" s="1">
        <f t="shared" si="1"/>
        <v>3.0722498976135149</v>
      </c>
    </row>
    <row r="58" spans="1:26" x14ac:dyDescent="0.2">
      <c r="A58">
        <v>57</v>
      </c>
      <c r="B58" t="s">
        <v>50</v>
      </c>
      <c r="C58" t="s">
        <v>42</v>
      </c>
      <c r="D58" t="s">
        <v>26</v>
      </c>
      <c r="E58">
        <v>2</v>
      </c>
      <c r="F58">
        <v>1977</v>
      </c>
      <c r="G58" t="s">
        <v>27</v>
      </c>
      <c r="H58" t="s">
        <v>30</v>
      </c>
      <c r="I58" t="s">
        <v>28</v>
      </c>
      <c r="J58" t="s">
        <v>35</v>
      </c>
      <c r="K58" t="s">
        <v>30</v>
      </c>
      <c r="L58" t="s">
        <v>30</v>
      </c>
      <c r="M58" t="s">
        <v>29</v>
      </c>
      <c r="N58" t="s">
        <v>30</v>
      </c>
      <c r="O58" t="s">
        <v>28</v>
      </c>
      <c r="P58" t="s">
        <v>30</v>
      </c>
      <c r="Q58" t="s">
        <v>35</v>
      </c>
      <c r="R58" t="s">
        <v>29</v>
      </c>
      <c r="S58" t="s">
        <v>30</v>
      </c>
      <c r="T58" t="s">
        <v>28</v>
      </c>
      <c r="U58" t="s">
        <v>30</v>
      </c>
      <c r="V58" t="s">
        <v>29</v>
      </c>
      <c r="W58">
        <v>70</v>
      </c>
      <c r="X58">
        <v>278</v>
      </c>
      <c r="Y58" s="1">
        <f t="shared" si="0"/>
        <v>1.8450980400142569</v>
      </c>
      <c r="Z58" s="1">
        <f t="shared" si="1"/>
        <v>2.4440447959180762</v>
      </c>
    </row>
    <row r="59" spans="1:26" x14ac:dyDescent="0.2">
      <c r="A59">
        <v>58</v>
      </c>
      <c r="B59" t="s">
        <v>24</v>
      </c>
      <c r="C59" t="s">
        <v>25</v>
      </c>
      <c r="D59" t="s">
        <v>26</v>
      </c>
      <c r="E59">
        <v>2</v>
      </c>
      <c r="F59">
        <v>1979</v>
      </c>
      <c r="G59" t="s">
        <v>27</v>
      </c>
      <c r="H59" t="s">
        <v>28</v>
      </c>
      <c r="I59" t="s">
        <v>29</v>
      </c>
      <c r="J59" t="s">
        <v>28</v>
      </c>
      <c r="K59" t="s">
        <v>30</v>
      </c>
      <c r="L59" t="s">
        <v>30</v>
      </c>
      <c r="M59" t="s">
        <v>29</v>
      </c>
      <c r="N59" t="s">
        <v>29</v>
      </c>
      <c r="O59" t="s">
        <v>30</v>
      </c>
      <c r="P59" t="s">
        <v>30</v>
      </c>
      <c r="Q59" t="s">
        <v>30</v>
      </c>
      <c r="R59" t="s">
        <v>30</v>
      </c>
      <c r="S59" t="s">
        <v>28</v>
      </c>
      <c r="T59" t="s">
        <v>28</v>
      </c>
      <c r="U59" t="s">
        <v>30</v>
      </c>
      <c r="V59" t="s">
        <v>29</v>
      </c>
      <c r="W59">
        <v>0.9</v>
      </c>
      <c r="X59">
        <v>8.4</v>
      </c>
      <c r="Y59" s="1">
        <f t="shared" si="0"/>
        <v>-4.5757490560675115E-2</v>
      </c>
      <c r="Z59" s="1">
        <f t="shared" si="1"/>
        <v>0.9242792860618817</v>
      </c>
    </row>
    <row r="60" spans="1:26" x14ac:dyDescent="0.2">
      <c r="A60">
        <v>59</v>
      </c>
      <c r="B60" t="s">
        <v>45</v>
      </c>
      <c r="C60" t="s">
        <v>51</v>
      </c>
      <c r="D60" t="s">
        <v>26</v>
      </c>
      <c r="E60">
        <v>6</v>
      </c>
      <c r="F60">
        <v>1974</v>
      </c>
      <c r="G60" t="s">
        <v>27</v>
      </c>
      <c r="H60" t="s">
        <v>35</v>
      </c>
      <c r="I60" t="s">
        <v>29</v>
      </c>
      <c r="J60" t="s">
        <v>34</v>
      </c>
      <c r="K60" t="s">
        <v>34</v>
      </c>
      <c r="L60" t="s">
        <v>35</v>
      </c>
      <c r="M60" t="s">
        <v>29</v>
      </c>
      <c r="N60" t="s">
        <v>29</v>
      </c>
      <c r="O60" t="s">
        <v>28</v>
      </c>
      <c r="P60" t="s">
        <v>35</v>
      </c>
      <c r="Q60" t="s">
        <v>28</v>
      </c>
      <c r="R60" t="s">
        <v>36</v>
      </c>
      <c r="S60" t="s">
        <v>28</v>
      </c>
      <c r="T60" t="s">
        <v>36</v>
      </c>
      <c r="U60" t="s">
        <v>36</v>
      </c>
      <c r="V60" t="s">
        <v>28</v>
      </c>
      <c r="W60">
        <v>980</v>
      </c>
      <c r="X60">
        <v>4560</v>
      </c>
      <c r="Y60" s="1">
        <f t="shared" si="0"/>
        <v>2.9912260756924947</v>
      </c>
      <c r="Z60" s="1">
        <f t="shared" si="1"/>
        <v>3.6589648426644348</v>
      </c>
    </row>
    <row r="61" spans="1:26" x14ac:dyDescent="0.2">
      <c r="A61">
        <v>60</v>
      </c>
      <c r="B61" t="s">
        <v>45</v>
      </c>
      <c r="C61" t="s">
        <v>51</v>
      </c>
      <c r="D61" t="s">
        <v>26</v>
      </c>
      <c r="E61">
        <v>6</v>
      </c>
      <c r="F61">
        <v>1975</v>
      </c>
      <c r="G61" t="s">
        <v>52</v>
      </c>
      <c r="H61" t="s">
        <v>30</v>
      </c>
      <c r="I61" t="s">
        <v>29</v>
      </c>
      <c r="J61" t="s">
        <v>28</v>
      </c>
      <c r="K61" t="s">
        <v>30</v>
      </c>
      <c r="L61" t="s">
        <v>30</v>
      </c>
      <c r="M61" t="s">
        <v>29</v>
      </c>
      <c r="N61" t="s">
        <v>29</v>
      </c>
      <c r="O61" t="s">
        <v>35</v>
      </c>
      <c r="P61" t="s">
        <v>30</v>
      </c>
      <c r="Q61" t="s">
        <v>35</v>
      </c>
      <c r="R61" t="s">
        <v>28</v>
      </c>
      <c r="S61" t="s">
        <v>28</v>
      </c>
      <c r="T61" t="s">
        <v>30</v>
      </c>
      <c r="U61" t="s">
        <v>29</v>
      </c>
      <c r="V61" t="s">
        <v>30</v>
      </c>
      <c r="W61">
        <v>350</v>
      </c>
      <c r="X61">
        <v>720</v>
      </c>
      <c r="Y61" s="1">
        <f t="shared" si="0"/>
        <v>2.5440680443502757</v>
      </c>
      <c r="Z61" s="1">
        <f t="shared" si="1"/>
        <v>2.8573324964312685</v>
      </c>
    </row>
    <row r="62" spans="1:26" x14ac:dyDescent="0.2">
      <c r="A62">
        <v>61</v>
      </c>
      <c r="B62" t="s">
        <v>47</v>
      </c>
      <c r="C62" t="s">
        <v>51</v>
      </c>
      <c r="D62" t="s">
        <v>26</v>
      </c>
      <c r="E62">
        <v>5</v>
      </c>
      <c r="F62">
        <v>1976</v>
      </c>
      <c r="G62" t="s">
        <v>52</v>
      </c>
      <c r="H62" t="s">
        <v>28</v>
      </c>
      <c r="I62" t="s">
        <v>30</v>
      </c>
      <c r="J62" t="s">
        <v>34</v>
      </c>
      <c r="K62" t="s">
        <v>28</v>
      </c>
      <c r="L62" t="s">
        <v>28</v>
      </c>
      <c r="M62" t="s">
        <v>29</v>
      </c>
      <c r="N62" t="s">
        <v>29</v>
      </c>
      <c r="O62" t="s">
        <v>28</v>
      </c>
      <c r="P62" t="s">
        <v>30</v>
      </c>
      <c r="Q62" t="s">
        <v>30</v>
      </c>
      <c r="R62" t="s">
        <v>28</v>
      </c>
      <c r="S62" t="s">
        <v>28</v>
      </c>
      <c r="T62" t="s">
        <v>28</v>
      </c>
      <c r="U62" t="s">
        <v>28</v>
      </c>
      <c r="V62" t="s">
        <v>30</v>
      </c>
      <c r="W62">
        <v>70</v>
      </c>
      <c r="X62">
        <v>458</v>
      </c>
      <c r="Y62" s="1">
        <f t="shared" si="0"/>
        <v>1.8450980400142569</v>
      </c>
      <c r="Z62" s="1">
        <f t="shared" si="1"/>
        <v>2.6608654780038692</v>
      </c>
    </row>
    <row r="63" spans="1:26" x14ac:dyDescent="0.2">
      <c r="A63">
        <v>62</v>
      </c>
      <c r="B63" t="s">
        <v>47</v>
      </c>
      <c r="C63" t="s">
        <v>49</v>
      </c>
      <c r="D63" t="s">
        <v>26</v>
      </c>
      <c r="E63">
        <v>5</v>
      </c>
      <c r="F63">
        <v>1979</v>
      </c>
      <c r="G63" t="s">
        <v>52</v>
      </c>
      <c r="H63" t="s">
        <v>28</v>
      </c>
      <c r="I63" t="s">
        <v>30</v>
      </c>
      <c r="J63" t="s">
        <v>34</v>
      </c>
      <c r="K63" t="s">
        <v>28</v>
      </c>
      <c r="L63" t="s">
        <v>28</v>
      </c>
      <c r="M63" t="s">
        <v>29</v>
      </c>
      <c r="N63" t="s">
        <v>29</v>
      </c>
      <c r="O63" t="s">
        <v>28</v>
      </c>
      <c r="P63" t="s">
        <v>30</v>
      </c>
      <c r="Q63" t="s">
        <v>30</v>
      </c>
      <c r="R63" t="s">
        <v>28</v>
      </c>
      <c r="S63" t="s">
        <v>28</v>
      </c>
      <c r="T63" t="s">
        <v>28</v>
      </c>
      <c r="U63" t="s">
        <v>28</v>
      </c>
      <c r="V63" t="s">
        <v>30</v>
      </c>
      <c r="W63">
        <v>271</v>
      </c>
      <c r="X63">
        <v>2460</v>
      </c>
      <c r="Y63" s="1">
        <f t="shared" si="0"/>
        <v>2.4329692908744058</v>
      </c>
      <c r="Z63" s="1">
        <f t="shared" si="1"/>
        <v>3.3909351071033793</v>
      </c>
    </row>
    <row r="64" spans="1:26" x14ac:dyDescent="0.2">
      <c r="A64">
        <v>63</v>
      </c>
      <c r="B64" t="s">
        <v>47</v>
      </c>
      <c r="C64" t="s">
        <v>25</v>
      </c>
      <c r="D64" t="s">
        <v>26</v>
      </c>
      <c r="E64">
        <v>5</v>
      </c>
      <c r="F64">
        <v>1971</v>
      </c>
      <c r="G64" t="s">
        <v>53</v>
      </c>
      <c r="H64" t="s">
        <v>30</v>
      </c>
      <c r="I64" t="s">
        <v>30</v>
      </c>
      <c r="J64" t="s">
        <v>30</v>
      </c>
      <c r="K64" t="s">
        <v>30</v>
      </c>
      <c r="L64" t="s">
        <v>30</v>
      </c>
      <c r="M64" t="s">
        <v>29</v>
      </c>
      <c r="N64" t="s">
        <v>29</v>
      </c>
      <c r="O64" t="s">
        <v>28</v>
      </c>
      <c r="P64" t="s">
        <v>28</v>
      </c>
      <c r="Q64" t="s">
        <v>28</v>
      </c>
      <c r="R64" t="s">
        <v>30</v>
      </c>
      <c r="S64" t="s">
        <v>28</v>
      </c>
      <c r="T64" t="s">
        <v>30</v>
      </c>
      <c r="U64" t="s">
        <v>29</v>
      </c>
      <c r="V64" t="s">
        <v>30</v>
      </c>
      <c r="W64">
        <v>90</v>
      </c>
      <c r="X64">
        <v>162</v>
      </c>
      <c r="Y64" s="1">
        <f t="shared" si="0"/>
        <v>1.954242509439325</v>
      </c>
      <c r="Z64" s="1">
        <f t="shared" si="1"/>
        <v>2.2095150145426308</v>
      </c>
    </row>
    <row r="65" spans="1:26" x14ac:dyDescent="0.2">
      <c r="A65">
        <v>64</v>
      </c>
      <c r="B65" t="s">
        <v>47</v>
      </c>
      <c r="C65" t="s">
        <v>25</v>
      </c>
      <c r="D65" t="s">
        <v>26</v>
      </c>
      <c r="E65">
        <v>5</v>
      </c>
      <c r="F65">
        <v>1980</v>
      </c>
      <c r="G65" t="s">
        <v>53</v>
      </c>
      <c r="H65" t="s">
        <v>30</v>
      </c>
      <c r="I65" t="s">
        <v>30</v>
      </c>
      <c r="J65" t="s">
        <v>30</v>
      </c>
      <c r="K65" t="s">
        <v>30</v>
      </c>
      <c r="L65" t="s">
        <v>30</v>
      </c>
      <c r="M65" t="s">
        <v>29</v>
      </c>
      <c r="N65" t="s">
        <v>29</v>
      </c>
      <c r="O65" t="s">
        <v>28</v>
      </c>
      <c r="P65" t="s">
        <v>28</v>
      </c>
      <c r="Q65" t="s">
        <v>28</v>
      </c>
      <c r="R65" t="s">
        <v>30</v>
      </c>
      <c r="S65" t="s">
        <v>28</v>
      </c>
      <c r="T65" t="s">
        <v>30</v>
      </c>
      <c r="U65" t="s">
        <v>29</v>
      </c>
      <c r="V65" t="s">
        <v>30</v>
      </c>
      <c r="W65">
        <v>40</v>
      </c>
      <c r="X65">
        <v>150</v>
      </c>
      <c r="Y65" s="1">
        <f t="shared" si="0"/>
        <v>1.6020599913279623</v>
      </c>
      <c r="Z65" s="1">
        <f t="shared" si="1"/>
        <v>2.1760912590556813</v>
      </c>
    </row>
    <row r="66" spans="1:26" x14ac:dyDescent="0.2">
      <c r="A66">
        <v>65</v>
      </c>
      <c r="B66" t="s">
        <v>47</v>
      </c>
      <c r="C66" t="s">
        <v>25</v>
      </c>
      <c r="D66" t="s">
        <v>26</v>
      </c>
      <c r="E66">
        <v>5</v>
      </c>
      <c r="F66">
        <v>1979</v>
      </c>
      <c r="G66" t="s">
        <v>52</v>
      </c>
      <c r="H66" t="s">
        <v>28</v>
      </c>
      <c r="I66" t="s">
        <v>30</v>
      </c>
      <c r="J66" t="s">
        <v>28</v>
      </c>
      <c r="K66" t="s">
        <v>28</v>
      </c>
      <c r="L66" t="s">
        <v>30</v>
      </c>
      <c r="M66" t="s">
        <v>29</v>
      </c>
      <c r="N66" t="s">
        <v>29</v>
      </c>
      <c r="O66" t="s">
        <v>28</v>
      </c>
      <c r="P66" t="s">
        <v>28</v>
      </c>
      <c r="Q66" t="s">
        <v>28</v>
      </c>
      <c r="R66" t="s">
        <v>30</v>
      </c>
      <c r="S66" t="s">
        <v>28</v>
      </c>
      <c r="T66" t="s">
        <v>30</v>
      </c>
      <c r="U66" t="s">
        <v>30</v>
      </c>
      <c r="V66" t="s">
        <v>30</v>
      </c>
      <c r="W66">
        <v>137</v>
      </c>
      <c r="X66">
        <v>636</v>
      </c>
      <c r="Y66" s="1">
        <f t="shared" si="0"/>
        <v>2.1367205671564067</v>
      </c>
      <c r="Z66" s="1">
        <f t="shared" si="1"/>
        <v>2.8034571156484138</v>
      </c>
    </row>
    <row r="67" spans="1:26" x14ac:dyDescent="0.2">
      <c r="A67">
        <v>66</v>
      </c>
      <c r="B67" t="s">
        <v>47</v>
      </c>
      <c r="C67" t="s">
        <v>25</v>
      </c>
      <c r="D67" t="s">
        <v>26</v>
      </c>
      <c r="E67">
        <v>5</v>
      </c>
      <c r="F67">
        <v>1977</v>
      </c>
      <c r="G67" t="s">
        <v>52</v>
      </c>
      <c r="H67" t="s">
        <v>28</v>
      </c>
      <c r="I67" t="s">
        <v>30</v>
      </c>
      <c r="J67" t="s">
        <v>28</v>
      </c>
      <c r="K67" t="s">
        <v>28</v>
      </c>
      <c r="L67" t="s">
        <v>30</v>
      </c>
      <c r="M67" t="s">
        <v>28</v>
      </c>
      <c r="N67" t="s">
        <v>29</v>
      </c>
      <c r="O67" t="s">
        <v>28</v>
      </c>
      <c r="P67" t="s">
        <v>28</v>
      </c>
      <c r="Q67" t="s">
        <v>28</v>
      </c>
      <c r="R67" t="s">
        <v>30</v>
      </c>
      <c r="S67" t="s">
        <v>28</v>
      </c>
      <c r="T67" t="s">
        <v>30</v>
      </c>
      <c r="U67" t="s">
        <v>36</v>
      </c>
      <c r="V67" t="s">
        <v>30</v>
      </c>
      <c r="W67">
        <v>150</v>
      </c>
      <c r="X67">
        <v>882</v>
      </c>
      <c r="Y67" s="1">
        <f t="shared" ref="Y67:Y94" si="2">LOG(W67)</f>
        <v>2.1760912590556813</v>
      </c>
      <c r="Z67" s="1">
        <f t="shared" ref="Z67:Z94" si="3">LOG(X67)</f>
        <v>2.9454685851318199</v>
      </c>
    </row>
    <row r="68" spans="1:26" x14ac:dyDescent="0.2">
      <c r="A68">
        <v>67</v>
      </c>
      <c r="B68" t="s">
        <v>47</v>
      </c>
      <c r="C68" t="s">
        <v>25</v>
      </c>
      <c r="D68" t="s">
        <v>26</v>
      </c>
      <c r="E68">
        <v>5</v>
      </c>
      <c r="F68">
        <v>1976</v>
      </c>
      <c r="G68" t="s">
        <v>52</v>
      </c>
      <c r="H68" t="s">
        <v>35</v>
      </c>
      <c r="I68" t="s">
        <v>30</v>
      </c>
      <c r="J68" t="s">
        <v>28</v>
      </c>
      <c r="K68" t="s">
        <v>28</v>
      </c>
      <c r="L68" t="s">
        <v>30</v>
      </c>
      <c r="M68" t="s">
        <v>29</v>
      </c>
      <c r="N68" t="s">
        <v>29</v>
      </c>
      <c r="O68" t="s">
        <v>28</v>
      </c>
      <c r="P68" t="s">
        <v>28</v>
      </c>
      <c r="Q68" t="s">
        <v>28</v>
      </c>
      <c r="R68" t="s">
        <v>30</v>
      </c>
      <c r="S68" t="s">
        <v>28</v>
      </c>
      <c r="T68" t="s">
        <v>30</v>
      </c>
      <c r="U68" t="s">
        <v>30</v>
      </c>
      <c r="V68" t="s">
        <v>30</v>
      </c>
      <c r="W68">
        <v>339</v>
      </c>
      <c r="X68">
        <v>444</v>
      </c>
      <c r="Y68" s="1">
        <f t="shared" si="2"/>
        <v>2.5301996982030821</v>
      </c>
      <c r="Z68" s="1">
        <f t="shared" si="3"/>
        <v>2.6473829701146196</v>
      </c>
    </row>
    <row r="69" spans="1:26" x14ac:dyDescent="0.2">
      <c r="A69">
        <v>68</v>
      </c>
      <c r="B69" t="s">
        <v>47</v>
      </c>
      <c r="C69" t="s">
        <v>25</v>
      </c>
      <c r="D69" t="s">
        <v>26</v>
      </c>
      <c r="E69">
        <v>5</v>
      </c>
      <c r="F69">
        <v>1983</v>
      </c>
      <c r="G69" t="s">
        <v>53</v>
      </c>
      <c r="H69" t="s">
        <v>29</v>
      </c>
      <c r="I69" t="s">
        <v>28</v>
      </c>
      <c r="J69" t="s">
        <v>29</v>
      </c>
      <c r="K69" t="s">
        <v>30</v>
      </c>
      <c r="L69" t="s">
        <v>30</v>
      </c>
      <c r="M69" t="s">
        <v>28</v>
      </c>
      <c r="N69" t="s">
        <v>29</v>
      </c>
      <c r="O69" t="s">
        <v>28</v>
      </c>
      <c r="P69" t="s">
        <v>28</v>
      </c>
      <c r="Q69" t="s">
        <v>28</v>
      </c>
      <c r="R69" t="s">
        <v>30</v>
      </c>
      <c r="S69" t="s">
        <v>28</v>
      </c>
      <c r="T69" t="s">
        <v>30</v>
      </c>
      <c r="U69" t="s">
        <v>29</v>
      </c>
      <c r="V69" t="s">
        <v>30</v>
      </c>
      <c r="W69">
        <v>240</v>
      </c>
      <c r="X69">
        <v>192</v>
      </c>
      <c r="Y69" s="1">
        <f t="shared" si="2"/>
        <v>2.3802112417116059</v>
      </c>
      <c r="Z69" s="1">
        <f t="shared" si="3"/>
        <v>2.2833012287035497</v>
      </c>
    </row>
    <row r="70" spans="1:26" x14ac:dyDescent="0.2">
      <c r="A70">
        <v>69</v>
      </c>
      <c r="B70" t="s">
        <v>47</v>
      </c>
      <c r="C70" t="s">
        <v>25</v>
      </c>
      <c r="D70" t="s">
        <v>26</v>
      </c>
      <c r="E70">
        <v>5</v>
      </c>
      <c r="F70">
        <v>1978</v>
      </c>
      <c r="G70" t="s">
        <v>27</v>
      </c>
      <c r="H70" t="s">
        <v>28</v>
      </c>
      <c r="I70" t="s">
        <v>30</v>
      </c>
      <c r="J70" t="s">
        <v>28</v>
      </c>
      <c r="K70" t="s">
        <v>30</v>
      </c>
      <c r="L70" t="s">
        <v>35</v>
      </c>
      <c r="M70" t="s">
        <v>29</v>
      </c>
      <c r="N70" t="s">
        <v>30</v>
      </c>
      <c r="O70" t="s">
        <v>28</v>
      </c>
      <c r="P70" t="s">
        <v>28</v>
      </c>
      <c r="Q70" t="s">
        <v>28</v>
      </c>
      <c r="R70" t="s">
        <v>28</v>
      </c>
      <c r="S70" t="s">
        <v>28</v>
      </c>
      <c r="T70" t="s">
        <v>29</v>
      </c>
      <c r="U70" t="s">
        <v>29</v>
      </c>
      <c r="V70" t="s">
        <v>29</v>
      </c>
      <c r="W70">
        <v>144</v>
      </c>
      <c r="X70">
        <v>576</v>
      </c>
      <c r="Y70" s="1">
        <f t="shared" si="2"/>
        <v>2.1583624920952498</v>
      </c>
      <c r="Z70" s="1">
        <f t="shared" si="3"/>
        <v>2.7604224834232118</v>
      </c>
    </row>
    <row r="71" spans="1:26" x14ac:dyDescent="0.2">
      <c r="A71">
        <v>70</v>
      </c>
      <c r="B71" t="s">
        <v>47</v>
      </c>
      <c r="C71" t="s">
        <v>25</v>
      </c>
      <c r="D71" t="s">
        <v>26</v>
      </c>
      <c r="E71">
        <v>5</v>
      </c>
      <c r="F71">
        <v>1979</v>
      </c>
      <c r="G71" t="s">
        <v>27</v>
      </c>
      <c r="H71" t="s">
        <v>30</v>
      </c>
      <c r="I71" t="s">
        <v>29</v>
      </c>
      <c r="J71" t="s">
        <v>30</v>
      </c>
      <c r="K71" t="s">
        <v>30</v>
      </c>
      <c r="L71" t="s">
        <v>35</v>
      </c>
      <c r="M71" t="s">
        <v>29</v>
      </c>
      <c r="N71" t="s">
        <v>30</v>
      </c>
      <c r="O71" t="s">
        <v>28</v>
      </c>
      <c r="P71" t="s">
        <v>28</v>
      </c>
      <c r="Q71" t="s">
        <v>28</v>
      </c>
      <c r="R71" t="s">
        <v>28</v>
      </c>
      <c r="S71" t="s">
        <v>28</v>
      </c>
      <c r="T71" t="s">
        <v>29</v>
      </c>
      <c r="U71" t="s">
        <v>29</v>
      </c>
      <c r="V71" t="s">
        <v>29</v>
      </c>
      <c r="W71">
        <v>151</v>
      </c>
      <c r="X71">
        <v>432</v>
      </c>
      <c r="Y71" s="1">
        <f t="shared" si="2"/>
        <v>2.1789769472931693</v>
      </c>
      <c r="Z71" s="1">
        <f t="shared" si="3"/>
        <v>2.6354837468149119</v>
      </c>
    </row>
    <row r="72" spans="1:26" x14ac:dyDescent="0.2">
      <c r="A72">
        <v>71</v>
      </c>
      <c r="B72" t="s">
        <v>47</v>
      </c>
      <c r="C72" t="s">
        <v>25</v>
      </c>
      <c r="D72" t="s">
        <v>26</v>
      </c>
      <c r="E72">
        <v>5</v>
      </c>
      <c r="F72">
        <v>1979</v>
      </c>
      <c r="G72" t="s">
        <v>27</v>
      </c>
      <c r="H72" t="s">
        <v>30</v>
      </c>
      <c r="I72" t="s">
        <v>29</v>
      </c>
      <c r="J72" t="s">
        <v>28</v>
      </c>
      <c r="K72" t="s">
        <v>30</v>
      </c>
      <c r="L72" t="s">
        <v>35</v>
      </c>
      <c r="M72" t="s">
        <v>29</v>
      </c>
      <c r="N72" t="s">
        <v>30</v>
      </c>
      <c r="O72" t="s">
        <v>28</v>
      </c>
      <c r="P72" t="s">
        <v>28</v>
      </c>
      <c r="Q72" t="s">
        <v>28</v>
      </c>
      <c r="R72" t="s">
        <v>28</v>
      </c>
      <c r="S72" t="s">
        <v>28</v>
      </c>
      <c r="T72" t="s">
        <v>29</v>
      </c>
      <c r="U72" t="s">
        <v>29</v>
      </c>
      <c r="V72" t="s">
        <v>29</v>
      </c>
      <c r="W72">
        <v>34</v>
      </c>
      <c r="X72">
        <v>72</v>
      </c>
      <c r="Y72" s="1">
        <f t="shared" si="2"/>
        <v>1.5314789170422551</v>
      </c>
      <c r="Z72" s="1">
        <f t="shared" si="3"/>
        <v>1.8573324964312685</v>
      </c>
    </row>
    <row r="73" spans="1:26" x14ac:dyDescent="0.2">
      <c r="A73">
        <v>72</v>
      </c>
      <c r="B73" t="s">
        <v>47</v>
      </c>
      <c r="C73" t="s">
        <v>25</v>
      </c>
      <c r="D73" t="s">
        <v>26</v>
      </c>
      <c r="E73">
        <v>5</v>
      </c>
      <c r="F73">
        <v>1979</v>
      </c>
      <c r="G73" t="s">
        <v>27</v>
      </c>
      <c r="H73" t="s">
        <v>30</v>
      </c>
      <c r="I73" t="s">
        <v>30</v>
      </c>
      <c r="J73" t="s">
        <v>28</v>
      </c>
      <c r="K73" t="s">
        <v>30</v>
      </c>
      <c r="L73" t="s">
        <v>35</v>
      </c>
      <c r="M73" t="s">
        <v>29</v>
      </c>
      <c r="N73" t="s">
        <v>30</v>
      </c>
      <c r="O73" t="s">
        <v>28</v>
      </c>
      <c r="P73" t="s">
        <v>28</v>
      </c>
      <c r="Q73" t="s">
        <v>28</v>
      </c>
      <c r="R73" t="s">
        <v>28</v>
      </c>
      <c r="S73" t="s">
        <v>28</v>
      </c>
      <c r="T73" t="s">
        <v>29</v>
      </c>
      <c r="U73" t="s">
        <v>29</v>
      </c>
      <c r="V73" t="s">
        <v>29</v>
      </c>
      <c r="W73">
        <v>98</v>
      </c>
      <c r="X73">
        <v>300</v>
      </c>
      <c r="Y73" s="1">
        <f t="shared" si="2"/>
        <v>1.9912260756924949</v>
      </c>
      <c r="Z73" s="1">
        <f t="shared" si="3"/>
        <v>2.4771212547196626</v>
      </c>
    </row>
    <row r="74" spans="1:26" x14ac:dyDescent="0.2">
      <c r="A74">
        <v>73</v>
      </c>
      <c r="B74" t="s">
        <v>47</v>
      </c>
      <c r="C74" t="s">
        <v>25</v>
      </c>
      <c r="D74" t="s">
        <v>26</v>
      </c>
      <c r="E74">
        <v>5</v>
      </c>
      <c r="F74">
        <v>1979</v>
      </c>
      <c r="G74" t="s">
        <v>27</v>
      </c>
      <c r="H74" t="s">
        <v>30</v>
      </c>
      <c r="I74" t="s">
        <v>30</v>
      </c>
      <c r="J74" t="s">
        <v>28</v>
      </c>
      <c r="K74" t="s">
        <v>30</v>
      </c>
      <c r="L74" t="s">
        <v>35</v>
      </c>
      <c r="M74" t="s">
        <v>29</v>
      </c>
      <c r="N74" t="s">
        <v>30</v>
      </c>
      <c r="O74" t="s">
        <v>28</v>
      </c>
      <c r="P74" t="s">
        <v>28</v>
      </c>
      <c r="Q74" t="s">
        <v>28</v>
      </c>
      <c r="R74" t="s">
        <v>28</v>
      </c>
      <c r="S74" t="s">
        <v>28</v>
      </c>
      <c r="T74" t="s">
        <v>29</v>
      </c>
      <c r="U74" t="s">
        <v>29</v>
      </c>
      <c r="V74" t="s">
        <v>29</v>
      </c>
      <c r="W74">
        <v>85</v>
      </c>
      <c r="X74">
        <v>300</v>
      </c>
      <c r="Y74" s="1">
        <f t="shared" si="2"/>
        <v>1.9294189257142926</v>
      </c>
      <c r="Z74" s="1">
        <f t="shared" si="3"/>
        <v>2.4771212547196626</v>
      </c>
    </row>
    <row r="75" spans="1:26" x14ac:dyDescent="0.2">
      <c r="A75">
        <v>74</v>
      </c>
      <c r="B75" t="s">
        <v>47</v>
      </c>
      <c r="C75" t="s">
        <v>25</v>
      </c>
      <c r="D75" t="s">
        <v>26</v>
      </c>
      <c r="E75">
        <v>5</v>
      </c>
      <c r="F75">
        <v>1982</v>
      </c>
      <c r="G75" t="s">
        <v>27</v>
      </c>
      <c r="H75" t="s">
        <v>30</v>
      </c>
      <c r="I75" t="s">
        <v>29</v>
      </c>
      <c r="J75" t="s">
        <v>30</v>
      </c>
      <c r="K75" t="s">
        <v>30</v>
      </c>
      <c r="L75" t="s">
        <v>35</v>
      </c>
      <c r="M75" t="s">
        <v>29</v>
      </c>
      <c r="N75" t="s">
        <v>30</v>
      </c>
      <c r="O75" t="s">
        <v>28</v>
      </c>
      <c r="P75" t="s">
        <v>28</v>
      </c>
      <c r="Q75" t="s">
        <v>28</v>
      </c>
      <c r="R75" t="s">
        <v>28</v>
      </c>
      <c r="S75" t="s">
        <v>28</v>
      </c>
      <c r="T75" t="s">
        <v>29</v>
      </c>
      <c r="U75" t="s">
        <v>29</v>
      </c>
      <c r="V75" t="s">
        <v>29</v>
      </c>
      <c r="W75">
        <v>20</v>
      </c>
      <c r="X75">
        <v>240</v>
      </c>
      <c r="Y75" s="1">
        <f t="shared" si="2"/>
        <v>1.3010299956639813</v>
      </c>
      <c r="Z75" s="1">
        <f t="shared" si="3"/>
        <v>2.3802112417116059</v>
      </c>
    </row>
    <row r="76" spans="1:26" x14ac:dyDescent="0.2">
      <c r="A76">
        <v>75</v>
      </c>
      <c r="B76" t="s">
        <v>47</v>
      </c>
      <c r="C76" t="s">
        <v>25</v>
      </c>
      <c r="D76" t="s">
        <v>26</v>
      </c>
      <c r="E76">
        <v>5</v>
      </c>
      <c r="F76">
        <v>1978</v>
      </c>
      <c r="G76" t="s">
        <v>27</v>
      </c>
      <c r="H76" t="s">
        <v>30</v>
      </c>
      <c r="I76" t="s">
        <v>29</v>
      </c>
      <c r="J76" t="s">
        <v>30</v>
      </c>
      <c r="K76" t="s">
        <v>30</v>
      </c>
      <c r="L76" t="s">
        <v>35</v>
      </c>
      <c r="M76" t="s">
        <v>29</v>
      </c>
      <c r="N76" t="s">
        <v>30</v>
      </c>
      <c r="O76" t="s">
        <v>28</v>
      </c>
      <c r="P76" t="s">
        <v>28</v>
      </c>
      <c r="Q76" t="s">
        <v>28</v>
      </c>
      <c r="R76" t="s">
        <v>28</v>
      </c>
      <c r="S76" t="s">
        <v>28</v>
      </c>
      <c r="T76" t="s">
        <v>29</v>
      </c>
      <c r="U76" t="s">
        <v>29</v>
      </c>
      <c r="V76" t="s">
        <v>29</v>
      </c>
      <c r="W76">
        <v>111</v>
      </c>
      <c r="X76">
        <v>600</v>
      </c>
      <c r="Y76" s="1">
        <f t="shared" si="2"/>
        <v>2.0453229787866576</v>
      </c>
      <c r="Z76" s="1">
        <f t="shared" si="3"/>
        <v>2.7781512503836434</v>
      </c>
    </row>
    <row r="77" spans="1:26" x14ac:dyDescent="0.2">
      <c r="A77">
        <v>76</v>
      </c>
      <c r="B77" t="s">
        <v>47</v>
      </c>
      <c r="C77" t="s">
        <v>25</v>
      </c>
      <c r="D77" t="s">
        <v>26</v>
      </c>
      <c r="E77">
        <v>5</v>
      </c>
      <c r="F77">
        <v>1978</v>
      </c>
      <c r="G77" t="s">
        <v>27</v>
      </c>
      <c r="H77" t="s">
        <v>28</v>
      </c>
      <c r="I77" t="s">
        <v>35</v>
      </c>
      <c r="J77" t="s">
        <v>28</v>
      </c>
      <c r="K77" t="s">
        <v>30</v>
      </c>
      <c r="L77" t="s">
        <v>35</v>
      </c>
      <c r="M77" t="s">
        <v>29</v>
      </c>
      <c r="N77" t="s">
        <v>30</v>
      </c>
      <c r="O77" t="s">
        <v>28</v>
      </c>
      <c r="P77" t="s">
        <v>28</v>
      </c>
      <c r="Q77" t="s">
        <v>28</v>
      </c>
      <c r="R77" t="s">
        <v>28</v>
      </c>
      <c r="S77" t="s">
        <v>28</v>
      </c>
      <c r="T77" t="s">
        <v>29</v>
      </c>
      <c r="U77" t="s">
        <v>29</v>
      </c>
      <c r="V77" t="s">
        <v>29</v>
      </c>
      <c r="W77">
        <v>162</v>
      </c>
      <c r="X77">
        <v>756</v>
      </c>
      <c r="Y77" s="1">
        <f t="shared" si="2"/>
        <v>2.2095150145426308</v>
      </c>
      <c r="Z77" s="1">
        <f t="shared" si="3"/>
        <v>2.8785217955012063</v>
      </c>
    </row>
    <row r="78" spans="1:26" x14ac:dyDescent="0.2">
      <c r="A78">
        <v>77</v>
      </c>
      <c r="B78" t="s">
        <v>47</v>
      </c>
      <c r="C78" t="s">
        <v>25</v>
      </c>
      <c r="D78" t="s">
        <v>26</v>
      </c>
      <c r="E78">
        <v>5</v>
      </c>
      <c r="F78">
        <v>1978</v>
      </c>
      <c r="G78" t="s">
        <v>27</v>
      </c>
      <c r="H78" t="s">
        <v>28</v>
      </c>
      <c r="I78" t="s">
        <v>28</v>
      </c>
      <c r="J78" t="s">
        <v>35</v>
      </c>
      <c r="K78" t="s">
        <v>30</v>
      </c>
      <c r="L78" t="s">
        <v>35</v>
      </c>
      <c r="M78" t="s">
        <v>29</v>
      </c>
      <c r="N78" t="s">
        <v>30</v>
      </c>
      <c r="O78" t="s">
        <v>28</v>
      </c>
      <c r="P78" t="s">
        <v>28</v>
      </c>
      <c r="Q78" t="s">
        <v>28</v>
      </c>
      <c r="R78" t="s">
        <v>28</v>
      </c>
      <c r="S78" t="s">
        <v>28</v>
      </c>
      <c r="T78" t="s">
        <v>29</v>
      </c>
      <c r="U78" t="s">
        <v>29</v>
      </c>
      <c r="V78" t="s">
        <v>29</v>
      </c>
      <c r="W78">
        <v>352</v>
      </c>
      <c r="X78">
        <v>1200</v>
      </c>
      <c r="Y78" s="1">
        <f t="shared" si="2"/>
        <v>2.5465426634781312</v>
      </c>
      <c r="Z78" s="1">
        <f t="shared" si="3"/>
        <v>3.0791812460476247</v>
      </c>
    </row>
    <row r="79" spans="1:26" x14ac:dyDescent="0.2">
      <c r="A79">
        <v>78</v>
      </c>
      <c r="B79" t="s">
        <v>47</v>
      </c>
      <c r="C79" t="s">
        <v>51</v>
      </c>
      <c r="D79" t="s">
        <v>26</v>
      </c>
      <c r="E79">
        <v>5</v>
      </c>
      <c r="F79">
        <v>1979</v>
      </c>
      <c r="G79" t="s">
        <v>27</v>
      </c>
      <c r="H79" t="s">
        <v>28</v>
      </c>
      <c r="I79" t="s">
        <v>30</v>
      </c>
      <c r="J79" t="s">
        <v>35</v>
      </c>
      <c r="K79" t="s">
        <v>30</v>
      </c>
      <c r="L79" t="s">
        <v>35</v>
      </c>
      <c r="M79" t="s">
        <v>29</v>
      </c>
      <c r="N79" t="s">
        <v>30</v>
      </c>
      <c r="O79" t="s">
        <v>28</v>
      </c>
      <c r="P79" t="s">
        <v>28</v>
      </c>
      <c r="Q79" t="s">
        <v>28</v>
      </c>
      <c r="R79" t="s">
        <v>28</v>
      </c>
      <c r="S79" t="s">
        <v>28</v>
      </c>
      <c r="T79" t="s">
        <v>29</v>
      </c>
      <c r="U79" t="s">
        <v>29</v>
      </c>
      <c r="V79" t="s">
        <v>29</v>
      </c>
      <c r="W79">
        <v>165</v>
      </c>
      <c r="X79">
        <v>97</v>
      </c>
      <c r="Y79" s="1">
        <f t="shared" si="2"/>
        <v>2.2174839442139063</v>
      </c>
      <c r="Z79" s="1">
        <f t="shared" si="3"/>
        <v>1.9867717342662448</v>
      </c>
    </row>
    <row r="80" spans="1:26" x14ac:dyDescent="0.2">
      <c r="A80">
        <v>79</v>
      </c>
      <c r="B80" t="s">
        <v>47</v>
      </c>
      <c r="C80" t="s">
        <v>33</v>
      </c>
      <c r="D80" t="s">
        <v>26</v>
      </c>
      <c r="E80">
        <v>5</v>
      </c>
      <c r="F80">
        <v>1984</v>
      </c>
      <c r="G80" t="s">
        <v>52</v>
      </c>
      <c r="H80" t="s">
        <v>28</v>
      </c>
      <c r="I80" t="s">
        <v>30</v>
      </c>
      <c r="J80" t="s">
        <v>35</v>
      </c>
      <c r="K80" t="s">
        <v>28</v>
      </c>
      <c r="L80" t="s">
        <v>28</v>
      </c>
      <c r="M80" t="s">
        <v>29</v>
      </c>
      <c r="N80" t="s">
        <v>35</v>
      </c>
      <c r="O80" t="s">
        <v>28</v>
      </c>
      <c r="P80" t="s">
        <v>30</v>
      </c>
      <c r="Q80" t="s">
        <v>30</v>
      </c>
      <c r="R80" t="s">
        <v>28</v>
      </c>
      <c r="S80" t="s">
        <v>28</v>
      </c>
      <c r="T80" t="s">
        <v>28</v>
      </c>
      <c r="U80" t="s">
        <v>35</v>
      </c>
      <c r="V80" t="s">
        <v>28</v>
      </c>
      <c r="W80">
        <v>60</v>
      </c>
      <c r="X80">
        <v>409</v>
      </c>
      <c r="Y80" s="1">
        <f t="shared" si="2"/>
        <v>1.7781512503836436</v>
      </c>
      <c r="Z80" s="1">
        <f t="shared" si="3"/>
        <v>2.6117233080073419</v>
      </c>
    </row>
    <row r="81" spans="1:27" x14ac:dyDescent="0.2">
      <c r="A81">
        <v>80</v>
      </c>
      <c r="B81" t="s">
        <v>47</v>
      </c>
      <c r="C81" t="s">
        <v>33</v>
      </c>
      <c r="D81" t="s">
        <v>26</v>
      </c>
      <c r="E81">
        <v>5</v>
      </c>
      <c r="F81">
        <v>1984</v>
      </c>
      <c r="G81" t="s">
        <v>52</v>
      </c>
      <c r="H81" t="s">
        <v>28</v>
      </c>
      <c r="I81" t="s">
        <v>30</v>
      </c>
      <c r="J81" t="s">
        <v>35</v>
      </c>
      <c r="K81" t="s">
        <v>28</v>
      </c>
      <c r="L81" t="s">
        <v>28</v>
      </c>
      <c r="M81" t="s">
        <v>29</v>
      </c>
      <c r="N81" t="s">
        <v>35</v>
      </c>
      <c r="O81" t="s">
        <v>28</v>
      </c>
      <c r="P81" t="s">
        <v>30</v>
      </c>
      <c r="Q81" t="s">
        <v>30</v>
      </c>
      <c r="R81" t="s">
        <v>28</v>
      </c>
      <c r="S81" t="s">
        <v>28</v>
      </c>
      <c r="T81" t="s">
        <v>28</v>
      </c>
      <c r="U81" t="s">
        <v>35</v>
      </c>
      <c r="V81" t="s">
        <v>28</v>
      </c>
      <c r="W81">
        <v>100</v>
      </c>
      <c r="X81">
        <v>703</v>
      </c>
      <c r="Y81" s="1">
        <f t="shared" si="2"/>
        <v>2</v>
      </c>
      <c r="Z81" s="1">
        <f t="shared" si="3"/>
        <v>2.8469553250198238</v>
      </c>
    </row>
    <row r="82" spans="1:27" x14ac:dyDescent="0.2">
      <c r="A82">
        <v>81</v>
      </c>
      <c r="B82" t="s">
        <v>44</v>
      </c>
      <c r="C82" t="s">
        <v>54</v>
      </c>
      <c r="D82" t="s">
        <v>55</v>
      </c>
      <c r="E82">
        <v>2</v>
      </c>
      <c r="F82">
        <v>1980</v>
      </c>
      <c r="G82" t="s">
        <v>52</v>
      </c>
      <c r="H82" t="s">
        <v>28</v>
      </c>
      <c r="I82" t="s">
        <v>35</v>
      </c>
      <c r="J82" t="s">
        <v>35</v>
      </c>
      <c r="K82" t="s">
        <v>34</v>
      </c>
      <c r="L82" t="s">
        <v>34</v>
      </c>
      <c r="M82" t="s">
        <v>28</v>
      </c>
      <c r="N82" t="s">
        <v>28</v>
      </c>
      <c r="O82" t="s">
        <v>30</v>
      </c>
      <c r="P82" t="s">
        <v>30</v>
      </c>
      <c r="Q82" t="s">
        <v>30</v>
      </c>
      <c r="R82" t="s">
        <v>29</v>
      </c>
      <c r="S82" t="s">
        <v>29</v>
      </c>
      <c r="T82" t="s">
        <v>30</v>
      </c>
      <c r="U82" t="s">
        <v>30</v>
      </c>
      <c r="V82" t="s">
        <v>28</v>
      </c>
      <c r="W82">
        <v>32</v>
      </c>
      <c r="X82">
        <v>1350</v>
      </c>
      <c r="Y82" s="1">
        <f t="shared" si="2"/>
        <v>1.505149978319906</v>
      </c>
      <c r="Z82" s="1">
        <f t="shared" si="3"/>
        <v>3.1303337684950061</v>
      </c>
    </row>
    <row r="83" spans="1:27" x14ac:dyDescent="0.2">
      <c r="A83">
        <v>82</v>
      </c>
      <c r="B83" t="s">
        <v>44</v>
      </c>
      <c r="C83" t="s">
        <v>54</v>
      </c>
      <c r="D83" t="s">
        <v>55</v>
      </c>
      <c r="E83">
        <v>2</v>
      </c>
      <c r="F83">
        <v>1980</v>
      </c>
      <c r="G83" t="s">
        <v>52</v>
      </c>
      <c r="H83" t="s">
        <v>28</v>
      </c>
      <c r="I83" t="s">
        <v>28</v>
      </c>
      <c r="J83" t="s">
        <v>28</v>
      </c>
      <c r="K83" t="s">
        <v>35</v>
      </c>
      <c r="L83" t="s">
        <v>34</v>
      </c>
      <c r="M83" t="s">
        <v>28</v>
      </c>
      <c r="N83" t="s">
        <v>28</v>
      </c>
      <c r="O83" t="s">
        <v>28</v>
      </c>
      <c r="P83" t="s">
        <v>28</v>
      </c>
      <c r="Q83" t="s">
        <v>28</v>
      </c>
      <c r="R83" t="s">
        <v>28</v>
      </c>
      <c r="S83" t="s">
        <v>28</v>
      </c>
      <c r="T83" t="s">
        <v>28</v>
      </c>
      <c r="U83" t="s">
        <v>30</v>
      </c>
      <c r="V83" t="s">
        <v>30</v>
      </c>
      <c r="W83">
        <v>53</v>
      </c>
      <c r="X83">
        <v>480</v>
      </c>
      <c r="Y83" s="1">
        <f t="shared" si="2"/>
        <v>1.7242758696007889</v>
      </c>
      <c r="Z83" s="1">
        <f t="shared" si="3"/>
        <v>2.6812412373755872</v>
      </c>
    </row>
    <row r="84" spans="1:27" x14ac:dyDescent="0.2">
      <c r="A84">
        <v>84</v>
      </c>
      <c r="B84" t="s">
        <v>50</v>
      </c>
      <c r="C84" t="s">
        <v>54</v>
      </c>
      <c r="D84" t="s">
        <v>55</v>
      </c>
      <c r="E84">
        <v>3</v>
      </c>
      <c r="F84">
        <v>1977</v>
      </c>
      <c r="G84" t="s">
        <v>52</v>
      </c>
      <c r="H84" t="s">
        <v>28</v>
      </c>
      <c r="I84" t="s">
        <v>29</v>
      </c>
      <c r="J84" t="s">
        <v>35</v>
      </c>
      <c r="K84" t="s">
        <v>35</v>
      </c>
      <c r="L84" t="s">
        <v>34</v>
      </c>
      <c r="M84" t="s">
        <v>29</v>
      </c>
      <c r="N84" t="s">
        <v>30</v>
      </c>
      <c r="O84" t="s">
        <v>35</v>
      </c>
      <c r="P84" t="s">
        <v>35</v>
      </c>
      <c r="Q84" t="s">
        <v>35</v>
      </c>
      <c r="R84" t="s">
        <v>36</v>
      </c>
      <c r="S84" t="s">
        <v>36</v>
      </c>
      <c r="T84" t="s">
        <v>28</v>
      </c>
      <c r="U84" t="s">
        <v>28</v>
      </c>
      <c r="V84" t="s">
        <v>30</v>
      </c>
      <c r="W84">
        <v>41</v>
      </c>
      <c r="X84">
        <v>599</v>
      </c>
      <c r="Y84" s="1">
        <f t="shared" si="2"/>
        <v>1.6127838567197355</v>
      </c>
      <c r="Z84" s="1">
        <f t="shared" si="3"/>
        <v>2.7774268223893115</v>
      </c>
    </row>
    <row r="85" spans="1:27" x14ac:dyDescent="0.2">
      <c r="A85">
        <v>89</v>
      </c>
      <c r="B85" t="s">
        <v>50</v>
      </c>
      <c r="C85" t="s">
        <v>54</v>
      </c>
      <c r="D85" t="s">
        <v>55</v>
      </c>
      <c r="E85">
        <v>3</v>
      </c>
      <c r="F85">
        <v>1977</v>
      </c>
      <c r="G85" t="s">
        <v>52</v>
      </c>
      <c r="H85" t="s">
        <v>28</v>
      </c>
      <c r="I85" t="s">
        <v>29</v>
      </c>
      <c r="J85" t="s">
        <v>35</v>
      </c>
      <c r="K85" t="s">
        <v>35</v>
      </c>
      <c r="L85" t="s">
        <v>34</v>
      </c>
      <c r="M85" t="s">
        <v>29</v>
      </c>
      <c r="N85" t="s">
        <v>30</v>
      </c>
      <c r="O85" t="s">
        <v>35</v>
      </c>
      <c r="P85" t="s">
        <v>35</v>
      </c>
      <c r="Q85" t="s">
        <v>35</v>
      </c>
      <c r="R85" t="s">
        <v>36</v>
      </c>
      <c r="S85" t="s">
        <v>36</v>
      </c>
      <c r="T85" t="s">
        <v>28</v>
      </c>
      <c r="U85" t="s">
        <v>28</v>
      </c>
      <c r="V85" t="s">
        <v>30</v>
      </c>
      <c r="W85">
        <v>24</v>
      </c>
      <c r="X85">
        <v>430</v>
      </c>
      <c r="Y85" s="1">
        <f t="shared" si="2"/>
        <v>1.3802112417116059</v>
      </c>
      <c r="Z85" s="1">
        <f t="shared" si="3"/>
        <v>2.6334684555795866</v>
      </c>
    </row>
    <row r="86" spans="1:27" x14ac:dyDescent="0.2">
      <c r="A86">
        <v>91</v>
      </c>
      <c r="B86" t="s">
        <v>47</v>
      </c>
      <c r="C86" t="s">
        <v>54</v>
      </c>
      <c r="D86" t="s">
        <v>55</v>
      </c>
      <c r="E86">
        <v>5</v>
      </c>
      <c r="F86">
        <v>1977</v>
      </c>
      <c r="G86" t="s">
        <v>52</v>
      </c>
      <c r="H86" t="s">
        <v>35</v>
      </c>
      <c r="I86" t="s">
        <v>28</v>
      </c>
      <c r="J86" t="s">
        <v>35</v>
      </c>
      <c r="K86" t="s">
        <v>34</v>
      </c>
      <c r="L86" t="s">
        <v>34</v>
      </c>
      <c r="M86" t="s">
        <v>30</v>
      </c>
      <c r="N86" t="s">
        <v>30</v>
      </c>
      <c r="O86" t="s">
        <v>28</v>
      </c>
      <c r="P86" t="s">
        <v>28</v>
      </c>
      <c r="Q86" t="s">
        <v>28</v>
      </c>
      <c r="R86" t="s">
        <v>28</v>
      </c>
      <c r="S86" t="s">
        <v>28</v>
      </c>
      <c r="T86" t="s">
        <v>28</v>
      </c>
      <c r="U86" t="s">
        <v>30</v>
      </c>
      <c r="V86" t="s">
        <v>28</v>
      </c>
      <c r="W86">
        <v>165</v>
      </c>
      <c r="X86">
        <v>4178.2</v>
      </c>
      <c r="Y86" s="1">
        <f t="shared" si="2"/>
        <v>2.2174839442139063</v>
      </c>
      <c r="Z86" s="1">
        <f t="shared" si="3"/>
        <v>3.6209892247341626</v>
      </c>
    </row>
    <row r="87" spans="1:27" x14ac:dyDescent="0.2">
      <c r="A87">
        <v>92</v>
      </c>
      <c r="B87" t="s">
        <v>47</v>
      </c>
      <c r="C87" t="s">
        <v>56</v>
      </c>
      <c r="D87" t="s">
        <v>55</v>
      </c>
      <c r="E87">
        <v>5</v>
      </c>
      <c r="F87">
        <v>1977</v>
      </c>
      <c r="G87" t="s">
        <v>52</v>
      </c>
      <c r="H87" t="s">
        <v>35</v>
      </c>
      <c r="I87" t="s">
        <v>28</v>
      </c>
      <c r="J87" t="s">
        <v>35</v>
      </c>
      <c r="K87" t="s">
        <v>34</v>
      </c>
      <c r="L87" t="s">
        <v>34</v>
      </c>
      <c r="M87" t="s">
        <v>30</v>
      </c>
      <c r="N87" t="s">
        <v>30</v>
      </c>
      <c r="O87" t="s">
        <v>28</v>
      </c>
      <c r="P87" t="s">
        <v>28</v>
      </c>
      <c r="Q87" t="s">
        <v>28</v>
      </c>
      <c r="R87" t="s">
        <v>28</v>
      </c>
      <c r="S87" t="s">
        <v>28</v>
      </c>
      <c r="T87" t="s">
        <v>28</v>
      </c>
      <c r="U87" t="s">
        <v>30</v>
      </c>
      <c r="V87" t="s">
        <v>28</v>
      </c>
      <c r="W87">
        <v>65</v>
      </c>
      <c r="X87">
        <v>1772.5</v>
      </c>
      <c r="Y87" s="1">
        <f t="shared" si="2"/>
        <v>1.8129133566428555</v>
      </c>
      <c r="Z87" s="1">
        <f t="shared" si="3"/>
        <v>3.2485862438551041</v>
      </c>
    </row>
    <row r="88" spans="1:27" x14ac:dyDescent="0.2">
      <c r="A88">
        <v>93</v>
      </c>
      <c r="B88" t="s">
        <v>47</v>
      </c>
      <c r="C88" t="s">
        <v>54</v>
      </c>
      <c r="D88" t="s">
        <v>55</v>
      </c>
      <c r="E88">
        <v>5</v>
      </c>
      <c r="F88">
        <v>1977</v>
      </c>
      <c r="G88" t="s">
        <v>52</v>
      </c>
      <c r="H88" t="s">
        <v>35</v>
      </c>
      <c r="I88" t="s">
        <v>28</v>
      </c>
      <c r="J88" t="s">
        <v>35</v>
      </c>
      <c r="K88" t="s">
        <v>34</v>
      </c>
      <c r="L88" t="s">
        <v>34</v>
      </c>
      <c r="M88" t="s">
        <v>30</v>
      </c>
      <c r="N88" t="s">
        <v>29</v>
      </c>
      <c r="O88" t="s">
        <v>28</v>
      </c>
      <c r="P88" t="s">
        <v>28</v>
      </c>
      <c r="Q88" t="s">
        <v>28</v>
      </c>
      <c r="R88" t="s">
        <v>28</v>
      </c>
      <c r="S88" t="s">
        <v>28</v>
      </c>
      <c r="T88" t="s">
        <v>28</v>
      </c>
      <c r="U88" t="s">
        <v>30</v>
      </c>
      <c r="V88" t="s">
        <v>28</v>
      </c>
      <c r="W88">
        <v>70</v>
      </c>
      <c r="X88">
        <v>1645.9</v>
      </c>
      <c r="Y88" s="1">
        <f t="shared" si="2"/>
        <v>1.8450980400142569</v>
      </c>
      <c r="Z88" s="1">
        <f t="shared" si="3"/>
        <v>3.2164034452337931</v>
      </c>
    </row>
    <row r="89" spans="1:27" x14ac:dyDescent="0.2">
      <c r="A89">
        <v>94</v>
      </c>
      <c r="B89" t="s">
        <v>47</v>
      </c>
      <c r="C89" t="s">
        <v>54</v>
      </c>
      <c r="D89" t="s">
        <v>55</v>
      </c>
      <c r="E89">
        <v>5</v>
      </c>
      <c r="F89">
        <v>1977</v>
      </c>
      <c r="G89" t="s">
        <v>52</v>
      </c>
      <c r="H89" t="s">
        <v>35</v>
      </c>
      <c r="I89" t="s">
        <v>28</v>
      </c>
      <c r="J89" t="s">
        <v>34</v>
      </c>
      <c r="K89" t="s">
        <v>34</v>
      </c>
      <c r="L89" t="s">
        <v>34</v>
      </c>
      <c r="M89" t="s">
        <v>30</v>
      </c>
      <c r="N89" t="s">
        <v>30</v>
      </c>
      <c r="O89" t="s">
        <v>28</v>
      </c>
      <c r="P89" t="s">
        <v>28</v>
      </c>
      <c r="Q89" t="s">
        <v>28</v>
      </c>
      <c r="R89" t="s">
        <v>28</v>
      </c>
      <c r="S89" t="s">
        <v>28</v>
      </c>
      <c r="T89" t="s">
        <v>28</v>
      </c>
      <c r="U89" t="s">
        <v>30</v>
      </c>
      <c r="V89" t="s">
        <v>28</v>
      </c>
      <c r="W89">
        <v>50</v>
      </c>
      <c r="X89">
        <v>1924.5</v>
      </c>
      <c r="Y89" s="1">
        <f t="shared" si="2"/>
        <v>1.6989700043360187</v>
      </c>
      <c r="Z89" s="1">
        <f t="shared" si="3"/>
        <v>3.2843179154306097</v>
      </c>
    </row>
    <row r="90" spans="1:27" x14ac:dyDescent="0.2">
      <c r="A90">
        <v>97</v>
      </c>
      <c r="B90" t="s">
        <v>32</v>
      </c>
      <c r="C90" t="s">
        <v>54</v>
      </c>
      <c r="D90" t="s">
        <v>55</v>
      </c>
      <c r="E90">
        <v>5</v>
      </c>
      <c r="F90">
        <v>1982</v>
      </c>
      <c r="G90" t="s">
        <v>52</v>
      </c>
      <c r="H90" t="s">
        <v>35</v>
      </c>
      <c r="I90" t="s">
        <v>29</v>
      </c>
      <c r="J90" t="s">
        <v>35</v>
      </c>
      <c r="K90" t="s">
        <v>35</v>
      </c>
      <c r="L90" t="s">
        <v>34</v>
      </c>
      <c r="M90" t="s">
        <v>29</v>
      </c>
      <c r="N90" t="s">
        <v>29</v>
      </c>
      <c r="O90" t="s">
        <v>28</v>
      </c>
      <c r="P90" t="s">
        <v>29</v>
      </c>
      <c r="Q90" t="s">
        <v>30</v>
      </c>
      <c r="R90" t="s">
        <v>36</v>
      </c>
      <c r="S90" t="s">
        <v>29</v>
      </c>
      <c r="T90" t="s">
        <v>29</v>
      </c>
      <c r="U90" t="s">
        <v>28</v>
      </c>
      <c r="V90" t="s">
        <v>28</v>
      </c>
      <c r="W90">
        <v>7.25</v>
      </c>
      <c r="X90">
        <v>648</v>
      </c>
      <c r="Y90" s="1">
        <f t="shared" si="2"/>
        <v>0.86033800657099369</v>
      </c>
      <c r="Z90" s="1">
        <f t="shared" si="3"/>
        <v>2.8115750058705933</v>
      </c>
    </row>
    <row r="91" spans="1:27" x14ac:dyDescent="0.2">
      <c r="A91">
        <v>98</v>
      </c>
      <c r="B91" t="s">
        <v>47</v>
      </c>
      <c r="C91" t="s">
        <v>54</v>
      </c>
      <c r="D91" t="s">
        <v>55</v>
      </c>
      <c r="E91">
        <v>5</v>
      </c>
      <c r="F91">
        <v>1980</v>
      </c>
      <c r="G91" t="s">
        <v>52</v>
      </c>
      <c r="H91" t="s">
        <v>35</v>
      </c>
      <c r="I91" t="s">
        <v>28</v>
      </c>
      <c r="J91" t="s">
        <v>35</v>
      </c>
      <c r="K91" t="s">
        <v>34</v>
      </c>
      <c r="L91" t="s">
        <v>34</v>
      </c>
      <c r="M91" t="s">
        <v>30</v>
      </c>
      <c r="N91" t="s">
        <v>30</v>
      </c>
      <c r="O91" t="s">
        <v>28</v>
      </c>
      <c r="P91" t="s">
        <v>28</v>
      </c>
      <c r="Q91" t="s">
        <v>28</v>
      </c>
      <c r="R91" t="s">
        <v>28</v>
      </c>
      <c r="S91" t="s">
        <v>28</v>
      </c>
      <c r="T91" t="s">
        <v>28</v>
      </c>
      <c r="U91" t="s">
        <v>30</v>
      </c>
      <c r="V91" t="s">
        <v>28</v>
      </c>
      <c r="W91">
        <v>233</v>
      </c>
      <c r="X91">
        <v>8211</v>
      </c>
      <c r="Y91" s="1">
        <f t="shared" si="2"/>
        <v>2.3673559210260189</v>
      </c>
      <c r="Z91" s="1">
        <f t="shared" si="3"/>
        <v>3.9143960521297863</v>
      </c>
    </row>
    <row r="92" spans="1:27" x14ac:dyDescent="0.2">
      <c r="A92">
        <v>99</v>
      </c>
      <c r="B92" t="s">
        <v>37</v>
      </c>
      <c r="C92" t="s">
        <v>54</v>
      </c>
      <c r="D92" t="s">
        <v>55</v>
      </c>
      <c r="E92">
        <v>2</v>
      </c>
      <c r="F92">
        <v>1983</v>
      </c>
      <c r="G92" t="s">
        <v>52</v>
      </c>
      <c r="H92" t="s">
        <v>28</v>
      </c>
      <c r="I92" t="s">
        <v>30</v>
      </c>
      <c r="J92" t="s">
        <v>35</v>
      </c>
      <c r="K92" t="s">
        <v>35</v>
      </c>
      <c r="L92" t="s">
        <v>35</v>
      </c>
      <c r="M92" t="s">
        <v>28</v>
      </c>
      <c r="N92" t="s">
        <v>28</v>
      </c>
      <c r="O92" t="s">
        <v>30</v>
      </c>
      <c r="P92" t="s">
        <v>30</v>
      </c>
      <c r="Q92" t="s">
        <v>30</v>
      </c>
      <c r="R92" t="s">
        <v>29</v>
      </c>
      <c r="S92" t="s">
        <v>29</v>
      </c>
      <c r="T92" t="s">
        <v>30</v>
      </c>
      <c r="U92" t="s">
        <v>30</v>
      </c>
      <c r="V92" t="s">
        <v>28</v>
      </c>
      <c r="W92">
        <v>16.3</v>
      </c>
      <c r="X92">
        <v>480</v>
      </c>
      <c r="Y92" s="1">
        <f t="shared" si="2"/>
        <v>1.2121876044039579</v>
      </c>
      <c r="Z92" s="1">
        <f t="shared" si="3"/>
        <v>2.6812412373755872</v>
      </c>
    </row>
    <row r="93" spans="1:27" x14ac:dyDescent="0.2">
      <c r="A93">
        <v>100</v>
      </c>
      <c r="B93" t="s">
        <v>37</v>
      </c>
      <c r="C93" t="s">
        <v>54</v>
      </c>
      <c r="D93" t="s">
        <v>55</v>
      </c>
      <c r="E93">
        <v>2</v>
      </c>
      <c r="F93">
        <v>1983</v>
      </c>
      <c r="G93" t="s">
        <v>52</v>
      </c>
      <c r="H93" t="s">
        <v>28</v>
      </c>
      <c r="I93" t="s">
        <v>30</v>
      </c>
      <c r="J93" t="s">
        <v>35</v>
      </c>
      <c r="K93" t="s">
        <v>35</v>
      </c>
      <c r="L93" t="s">
        <v>35</v>
      </c>
      <c r="M93" t="s">
        <v>28</v>
      </c>
      <c r="N93" t="s">
        <v>28</v>
      </c>
      <c r="O93" t="s">
        <v>30</v>
      </c>
      <c r="P93" t="s">
        <v>30</v>
      </c>
      <c r="Q93" t="s">
        <v>30</v>
      </c>
      <c r="R93" t="s">
        <v>29</v>
      </c>
      <c r="S93" t="s">
        <v>29</v>
      </c>
      <c r="T93" t="s">
        <v>30</v>
      </c>
      <c r="U93" t="s">
        <v>30</v>
      </c>
      <c r="V93" t="s">
        <v>28</v>
      </c>
      <c r="W93">
        <v>6.2</v>
      </c>
      <c r="X93">
        <v>12</v>
      </c>
      <c r="Y93" s="1">
        <f t="shared" si="2"/>
        <v>0.79239168949825389</v>
      </c>
      <c r="Z93" s="1">
        <f t="shared" si="3"/>
        <v>1.0791812460476249</v>
      </c>
    </row>
    <row r="94" spans="1:27" x14ac:dyDescent="0.2">
      <c r="A94">
        <v>101</v>
      </c>
      <c r="B94" t="s">
        <v>37</v>
      </c>
      <c r="C94" t="s">
        <v>56</v>
      </c>
      <c r="D94" t="s">
        <v>55</v>
      </c>
      <c r="E94">
        <v>2</v>
      </c>
      <c r="F94">
        <v>1983</v>
      </c>
      <c r="G94" t="s">
        <v>52</v>
      </c>
      <c r="H94" t="s">
        <v>28</v>
      </c>
      <c r="I94" t="s">
        <v>30</v>
      </c>
      <c r="J94" t="s">
        <v>35</v>
      </c>
      <c r="K94" t="s">
        <v>35</v>
      </c>
      <c r="L94" t="s">
        <v>35</v>
      </c>
      <c r="M94" t="s">
        <v>28</v>
      </c>
      <c r="N94" t="s">
        <v>28</v>
      </c>
      <c r="O94" t="s">
        <v>30</v>
      </c>
      <c r="P94" t="s">
        <v>30</v>
      </c>
      <c r="Q94" t="s">
        <v>30</v>
      </c>
      <c r="R94" t="s">
        <v>29</v>
      </c>
      <c r="S94" t="s">
        <v>29</v>
      </c>
      <c r="T94" t="s">
        <v>30</v>
      </c>
      <c r="U94" t="s">
        <v>30</v>
      </c>
      <c r="V94" t="s">
        <v>28</v>
      </c>
      <c r="W94">
        <v>3</v>
      </c>
      <c r="X94">
        <v>38</v>
      </c>
      <c r="Y94" s="1">
        <f t="shared" si="2"/>
        <v>0.47712125471966244</v>
      </c>
      <c r="Z94" s="1">
        <f t="shared" si="3"/>
        <v>1.5797835966168101</v>
      </c>
    </row>
    <row r="95" spans="1:27" x14ac:dyDescent="0.2">
      <c r="W95" s="1">
        <f>SUM(W2:W94)</f>
        <v>8744.0499999999993</v>
      </c>
      <c r="X95" s="1">
        <f t="shared" ref="X95:Z95" si="4">SUM(X2:X94)</f>
        <v>58070.299999999996</v>
      </c>
      <c r="Y95" s="1">
        <f t="shared" si="4"/>
        <v>151.3205228463913</v>
      </c>
      <c r="Z95" s="1">
        <f t="shared" si="4"/>
        <v>218.67078271663192</v>
      </c>
    </row>
    <row r="96" spans="1:27" x14ac:dyDescent="0.2">
      <c r="W96" s="1">
        <f>W95/93</f>
        <v>94.022043010752682</v>
      </c>
      <c r="X96" s="1">
        <f t="shared" ref="X96:Z96" si="5">X95/93</f>
        <v>624.41182795698921</v>
      </c>
      <c r="Y96" s="1">
        <f t="shared" si="5"/>
        <v>1.627102396197756</v>
      </c>
      <c r="Z96" s="1">
        <f t="shared" si="5"/>
        <v>2.3512987388885151</v>
      </c>
      <c r="AA96" t="s">
        <v>59</v>
      </c>
    </row>
    <row r="97" spans="23:28" x14ac:dyDescent="0.2">
      <c r="W97" s="1"/>
      <c r="X97" s="1"/>
      <c r="Y97" s="1"/>
      <c r="Z97" s="1"/>
      <c r="AA97">
        <v>0.9</v>
      </c>
      <c r="AB97">
        <f>LOG(AA97)</f>
        <v>-4.5757490560675115E-2</v>
      </c>
    </row>
    <row r="98" spans="23:28" x14ac:dyDescent="0.2">
      <c r="AA98">
        <v>47.5</v>
      </c>
      <c r="AB98">
        <f t="shared" ref="AB98:AB100" si="6">LOG(AA98)</f>
        <v>1.6766936096248666</v>
      </c>
    </row>
    <row r="99" spans="23:28" x14ac:dyDescent="0.2">
      <c r="AA99">
        <v>94</v>
      </c>
      <c r="AB99">
        <f t="shared" si="6"/>
        <v>1.9731278535996986</v>
      </c>
    </row>
    <row r="100" spans="23:28" x14ac:dyDescent="0.2">
      <c r="AA100">
        <v>980</v>
      </c>
      <c r="AB100">
        <f t="shared" si="6"/>
        <v>2.9912260756924947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cocomonasa_2data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edmond</dc:creator>
  <cp:lastModifiedBy>edmond</cp:lastModifiedBy>
  <dcterms:created xsi:type="dcterms:W3CDTF">2020-10-05T07:22:19Z</dcterms:created>
  <dcterms:modified xsi:type="dcterms:W3CDTF">2020-10-05T07:22:20Z</dcterms:modified>
</cp:coreProperties>
</file>